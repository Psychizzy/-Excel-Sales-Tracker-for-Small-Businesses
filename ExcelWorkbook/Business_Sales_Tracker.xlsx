
<file path=[Content_Types].xml><?xml version="1.0" encoding="utf-8"?>
<Types xmlns="http://schemas.openxmlformats.org/package/2006/content-types">
  <Default Extension="bin" ContentType="application/vnd.openxmlformats-officedocument.spreadsheetml.printerSettings"/>
  <Default Extension="data" ContentType="application/vnd.openxmlformats-officedocument.model+data"/>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pivotCache/pivotCacheDefinition1.xml" ContentType="application/vnd.openxmlformats-officedocument.spreadsheetml.pivotCacheDefinition+xml"/>
  <Override PartName="/xl/pivotCache/pivotCacheDefinition2.xml" ContentType="application/vnd.openxmlformats-officedocument.spreadsheetml.pivotCacheDefinition+xml"/>
  <Override PartName="/xl/pivotCache/pivotCacheDefinition3.xml" ContentType="application/vnd.openxmlformats-officedocument.spreadsheetml.pivotCacheDefinition+xml"/>
  <Override PartName="/xl/pivotCache/pivotCacheDefinition4.xml" ContentType="application/vnd.openxmlformats-officedocument.spreadsheetml.pivotCacheDefinition+xml"/>
  <Override PartName="/xl/pivotCache/pivotCacheDefinition5.xml" ContentType="application/vnd.openxmlformats-officedocument.spreadsheetml.pivotCacheDefinition+xml"/>
  <Override PartName="/xl/pivotCache/pivotCacheDefinition6.xml" ContentType="application/vnd.openxmlformats-officedocument.spreadsheetml.pivotCacheDefinition+xml"/>
  <Override PartName="/xl/pivotCache/pivotCacheDefinition7.xml" ContentType="application/vnd.openxmlformats-officedocument.spreadsheetml.pivotCacheDefinition+xml"/>
  <Override PartName="/xl/pivotCache/pivotCacheDefinition8.xml" ContentType="application/vnd.openxmlformats-officedocument.spreadsheetml.pivotCacheDefinition+xml"/>
  <Override PartName="/xl/pivotCache/pivotCacheDefinition9.xml" ContentType="application/vnd.openxmlformats-officedocument.spreadsheetml.pivotCacheDefinition+xml"/>
  <Override PartName="/xl/pivotCache/pivotCacheDefinition10.xml" ContentType="application/vnd.openxmlformats-officedocument.spreadsheetml.pivotCacheDefinition+xml"/>
  <Override PartName="/xl/slicerCaches/slicerCache1.xml" ContentType="application/vnd.ms-excel.slicerCache+xml"/>
  <Override PartName="/xl/slicerCaches/slicerCache2.xml" ContentType="application/vnd.ms-excel.slicerCache+xml"/>
  <Override PartName="/xl/theme/theme1.xml" ContentType="application/vnd.openxmlformats-officedocument.theme+xml"/>
  <Override PartName="/xl/connections.xml" ContentType="application/vnd.openxmlformats-officedocument.spreadsheetml.connections+xml"/>
  <Override PartName="/xl/styles.xml" ContentType="application/vnd.openxmlformats-officedocument.spreadsheetml.styles+xml"/>
  <Override PartName="/xl/sharedStrings.xml" ContentType="application/vnd.openxmlformats-officedocument.spreadsheetml.sharedStrings+xml"/>
  <Override PartName="/xl/metadata.xml" ContentType="application/vnd.openxmlformats-officedocument.spreadsheetml.sheetMetadata+xml"/>
  <Override PartName="/xl/tables/table1.xml" ContentType="application/vnd.openxmlformats-officedocument.spreadsheetml.table+xml"/>
  <Override PartName="/xl/tables/table2.xml" ContentType="application/vnd.openxmlformats-officedocument.spreadsheetml.table+xml"/>
  <Override PartName="/xl/tables/table3.xml" ContentType="application/vnd.openxmlformats-officedocument.spreadsheetml.table+xml"/>
  <Override PartName="/xl/drawings/drawing1.xml" ContentType="application/vnd.openxmlformats-officedocument.drawing+xml"/>
  <Override PartName="/xl/slicers/slicer1.xml" ContentType="application/vnd.ms-excel.slicer+xml"/>
  <Override PartName="/xl/charts/chart1.xml" ContentType="application/vnd.openxmlformats-officedocument.drawingml.chart+xml"/>
  <Override PartName="/xl/charts/style1.xml" ContentType="application/vnd.ms-office.chartstyle+xml"/>
  <Override PartName="/xl/charts/colors1.xml" ContentType="application/vnd.ms-office.chartcolorstyle+xml"/>
  <Override PartName="/xl/charts/chart2.xml" ContentType="application/vnd.openxmlformats-officedocument.drawingml.chart+xml"/>
  <Override PartName="/xl/charts/style2.xml" ContentType="application/vnd.ms-office.chartstyle+xml"/>
  <Override PartName="/xl/charts/colors2.xml" ContentType="application/vnd.ms-office.chartcolorstyle+xml"/>
  <Override PartName="/xl/charts/chart3.xml" ContentType="application/vnd.openxmlformats-officedocument.drawingml.chart+xml"/>
  <Override PartName="/xl/charts/style3.xml" ContentType="application/vnd.ms-office.chartstyle+xml"/>
  <Override PartName="/xl/charts/colors3.xml" ContentType="application/vnd.ms-office.chartcolorstyle+xml"/>
  <Override PartName="/xl/charts/chart4.xml" ContentType="application/vnd.openxmlformats-officedocument.drawingml.chart+xml"/>
  <Override PartName="/xl/charts/style4.xml" ContentType="application/vnd.ms-office.chartstyle+xml"/>
  <Override PartName="/xl/charts/colors4.xml" ContentType="application/vnd.ms-office.chartcolorstyle+xml"/>
  <Override PartName="/xl/tables/table4.xml" ContentType="application/vnd.openxmlformats-officedocument.spreadsheetml.table+xml"/>
  <Override PartName="/xl/pivotTables/pivotTable1.xml" ContentType="application/vnd.openxmlformats-officedocument.spreadsheetml.pivotTable+xml"/>
  <Override PartName="/xl/pivotTables/pivotTable2.xml" ContentType="application/vnd.openxmlformats-officedocument.spreadsheetml.pivotTable+xml"/>
  <Override PartName="/xl/pivotTables/pivotTable3.xml" ContentType="application/vnd.openxmlformats-officedocument.spreadsheetml.pivotTable+xml"/>
  <Override PartName="/xl/pivotTables/pivotTable4.xml" ContentType="application/vnd.openxmlformats-officedocument.spreadsheetml.pivotTable+xml"/>
  <Override PartName="/xl/pivotTables/pivotTable5.xml" ContentType="application/vnd.openxmlformats-officedocument.spreadsheetml.pivotTable+xml"/>
  <Override PartName="/xl/pivotTables/pivotTable6.xml" ContentType="application/vnd.openxmlformats-officedocument.spreadsheetml.pivotTable+xml"/>
  <Override PartName="/xl/pivotTables/pivotTable7.xml" ContentType="application/vnd.openxmlformats-officedocument.spreadsheetml.pivotTable+xml"/>
  <Override PartName="/xl/pivotTables/pivotTable8.xml" ContentType="application/vnd.openxmlformats-officedocument.spreadsheetml.pivotTable+xml"/>
  <Override PartName="/xl/pivotTables/pivotTable9.xml" ContentType="application/vnd.openxmlformats-officedocument.spreadsheetml.pivotTable+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7932"/>
  <workbookPr hidePivotFieldList="1" defaultThemeVersion="202300"/>
  <mc:AlternateContent xmlns:mc="http://schemas.openxmlformats.org/markup-compatibility/2006">
    <mc:Choice Requires="x15">
      <x15ac:absPath xmlns:x15ac="http://schemas.microsoft.com/office/spreadsheetml/2010/11/ac" url="C:\Users\USER\Documents\"/>
    </mc:Choice>
  </mc:AlternateContent>
  <xr:revisionPtr revIDLastSave="0" documentId="13_ncr:1_{535EC0B0-12BB-46A7-886C-9CAB4D53D3A6}" xr6:coauthVersionLast="47" xr6:coauthVersionMax="47" xr10:uidLastSave="{00000000-0000-0000-0000-000000000000}"/>
  <bookViews>
    <workbookView xWindow="-120" yWindow="-120" windowWidth="20730" windowHeight="11160" tabRatio="888" xr2:uid="{0D0D499F-EBBA-4D29-BE19-738F451E52F3}"/>
  </bookViews>
  <sheets>
    <sheet name="Sales_Entry" sheetId="1" r:id="rId1"/>
    <sheet name="Expenses_Entry" sheetId="2" r:id="rId2"/>
    <sheet name="Inventory" sheetId="3" r:id="rId3"/>
    <sheet name="Dashboard" sheetId="4" r:id="rId4"/>
    <sheet name="Calender" sheetId="6" r:id="rId5"/>
    <sheet name="Instruction" sheetId="8" r:id="rId6"/>
    <sheet name="_Backend_Pivots" sheetId="5" state="hidden" r:id="rId7"/>
  </sheets>
  <definedNames>
    <definedName name="_xlcn.WorksheetConnection_Business_Sales_Tracker.xlsxCalender1" hidden="1">Calender[]</definedName>
    <definedName name="_xlcn.WorksheetConnection_Business_Sales_Tracker.xlsxtblExpenses1" hidden="1">tblExpenses[]</definedName>
    <definedName name="_xlcn.WorksheetConnection_Business_Sales_Tracker.xlsxtblInventory1" hidden="1">tblInventory[]</definedName>
    <definedName name="_xlcn.WorksheetConnection_Business_Sales_Tracker.xlsxtblSales1" hidden="1">tblSales[]</definedName>
    <definedName name="Slicer_Date">#N/A</definedName>
    <definedName name="Slicer_ProductName">#N/A</definedName>
  </definedNames>
  <calcPr calcId="191029"/>
  <pivotCaches>
    <pivotCache cacheId="559" r:id="rId8"/>
    <pivotCache cacheId="583" r:id="rId9"/>
    <pivotCache cacheId="628" r:id="rId10"/>
    <pivotCache cacheId="631" r:id="rId11"/>
    <pivotCache cacheId="634" r:id="rId12"/>
    <pivotCache cacheId="637" r:id="rId13"/>
    <pivotCache cacheId="640" r:id="rId14"/>
    <pivotCache cacheId="643" r:id="rId15"/>
    <pivotCache cacheId="646" r:id="rId16"/>
  </pivotCaches>
  <extLst>
    <ext xmlns:x14="http://schemas.microsoft.com/office/spreadsheetml/2009/9/main" uri="{876F7934-8845-4945-9796-88D515C7AA90}">
      <x14:pivotCaches>
        <pivotCache cacheId="558" r:id="rId17"/>
      </x14:pivotCaches>
    </ext>
    <ext xmlns:x14="http://schemas.microsoft.com/office/spreadsheetml/2009/9/main" uri="{BBE1A952-AA13-448e-AADC-164F8A28A991}">
      <x14:slicerCaches>
        <x14:slicerCache r:id="rId18"/>
        <x14:slicerCache r:id="rId19"/>
      </x14:slicerCaches>
    </ext>
    <ext xmlns:x14="http://schemas.microsoft.com/office/spreadsheetml/2009/9/main" uri="{79F54976-1DA5-4618-B147-4CDE4B953A38}">
      <x14:workbookPr/>
    </ext>
    <ext xmlns:x15="http://schemas.microsoft.com/office/spreadsheetml/2010/11/main" uri="{140A7094-0E35-4892-8432-C4D2E57EDEB5}">
      <x15:workbookPr chartTrackingRefBase="1"/>
    </ext>
    <ext xmlns:x15="http://schemas.microsoft.com/office/spreadsheetml/2010/11/main" uri="{FCE2AD5D-F65C-4FA6-A056-5C36A1767C68}">
      <x15:dataModel>
        <x15:modelTables>
          <x15:modelTable id="tblSales" name="tblSales" connection="WorksheetConnection_Business_Sales_Tracker.xlsx!tblSales"/>
          <x15:modelTable id="tblInventory" name="tblInventory" connection="WorksheetConnection_Business_Sales_Tracker.xlsx!tblInventory"/>
          <x15:modelTable id="tblExpenses" name="tblExpenses" connection="WorksheetConnection_Business_Sales_Tracker.xlsx!tblExpenses"/>
          <x15:modelTable id="Calender" name="Calender" connection="WorksheetConnection_Business_Sales_Tracker.xlsx!Calender"/>
        </x15:modelTables>
        <x15:modelRelationships>
          <x15:modelRelationship fromTable="tblSales" fromColumn="Date" toTable="Calender" toColumn="Date"/>
          <x15:modelRelationship fromTable="tblExpenses" fromColumn="Date" toTable="Calender" toColumn="Date"/>
          <x15:modelRelationship fromTable="tblInventory" fromColumn="Date" toTable="Calender" toColumn="Date"/>
        </x15:modelRelationships>
        <x15:extLst>
          <ext xmlns:x16="http://schemas.microsoft.com/office/spreadsheetml/2014/11/main" uri="{9835A34E-60A6-4A7C-AAB8-D5F71C897F49}">
            <x16:modelTimeGroupings>
              <x16:modelTimeGrouping tableName="Calender" columnName="Date" columnId="Date">
                <x16:calculatedTimeColumn columnName="Date (Year)" columnId="Date (Year)" contentType="years" isSelected="0"/>
                <x16:calculatedTimeColumn columnName="Date (Quarter)" columnId="Date (Quarter)" contentType="quarters" isSelected="0"/>
                <x16:calculatedTimeColumn columnName="Date (Month Index)" columnId="Date (Month Index)" contentType="monthsindex" isSelected="1"/>
                <x16:calculatedTimeColumn columnName="Date (Month)" columnId="Date (Month)" contentType="months" isSelected="1"/>
                <x16:calculatedTimeColumn columnName="Date (Day Index)" columnId="Date (Day Index)" contentType="daysindex" isSelected="1"/>
                <x16:calculatedTimeColumn columnName="Date (Day)" columnId="Date (Day)" contentType="days" isSelected="1"/>
              </x16:modelTimeGrouping>
            </x16:modelTimeGroupings>
          </ext>
        </x15:extLst>
      </x15:dataModel>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 xmlns:xlwcv="http://schemas.microsoft.com/office/spreadsheetml/2024/workbookCompatibilityVersion" uri="{D14903EA-33C4-47F7-8F05-3474C54BE107}">
      <xlwcv:version setVersion="1"/>
    </ext>
  </extLst>
</workbook>
</file>

<file path=xl/calcChain.xml><?xml version="1.0" encoding="utf-8"?>
<calcChain xmlns="http://schemas.openxmlformats.org/spreadsheetml/2006/main">
  <c r="H14" i="1" l="1"/>
  <c r="I14" i="1"/>
  <c r="J14" i="1"/>
  <c r="H13" i="1"/>
  <c r="J13" i="1" s="1"/>
  <c r="I13" i="1"/>
  <c r="H12" i="1"/>
  <c r="I12" i="1"/>
  <c r="E2" i="6"/>
  <c r="D2" i="6"/>
  <c r="C2" i="6"/>
  <c r="B2" i="6"/>
  <c r="A3" i="6"/>
  <c r="A4" i="6" s="1"/>
  <c r="H11" i="1"/>
  <c r="I11" i="1"/>
  <c r="I3" i="3"/>
  <c r="I4" i="3"/>
  <c r="I5" i="3"/>
  <c r="I6" i="3"/>
  <c r="I7" i="3"/>
  <c r="I8" i="3"/>
  <c r="I9" i="3"/>
  <c r="I2" i="3"/>
  <c r="H10" i="1"/>
  <c r="I10" i="1"/>
  <c r="G9" i="3"/>
  <c r="G8" i="3"/>
  <c r="G3" i="3"/>
  <c r="G4" i="3"/>
  <c r="G5" i="3"/>
  <c r="G6" i="3"/>
  <c r="G7" i="3"/>
  <c r="G2" i="3"/>
  <c r="H3" i="1"/>
  <c r="H2" i="1"/>
  <c r="H4" i="1"/>
  <c r="H5" i="1"/>
  <c r="H6" i="1"/>
  <c r="H7" i="1"/>
  <c r="H8" i="1"/>
  <c r="H9" i="1"/>
  <c r="I9" i="1"/>
  <c r="I8" i="1"/>
  <c r="I7" i="1"/>
  <c r="I6" i="1"/>
  <c r="I5" i="1"/>
  <c r="I4" i="1"/>
  <c r="I3" i="1"/>
  <c r="I2" i="1"/>
  <c r="E25" i="4"/>
  <c r="C21" i="4"/>
  <c r="D23" i="4"/>
  <c r="D21" i="4"/>
  <c r="J2" i="1" l="1"/>
  <c r="J7" i="1"/>
  <c r="J8" i="1"/>
  <c r="C4" i="6"/>
  <c r="D4" i="6"/>
  <c r="A5" i="6"/>
  <c r="B4" i="6"/>
  <c r="E4" i="6"/>
  <c r="D3" i="6"/>
  <c r="C3" i="6"/>
  <c r="E3" i="6"/>
  <c r="B3" i="6"/>
  <c r="E21" i="4"/>
  <c r="J12" i="1"/>
  <c r="J6" i="1"/>
  <c r="J9" i="1"/>
  <c r="J5" i="1"/>
  <c r="J11" i="1"/>
  <c r="J4" i="1"/>
  <c r="J3" i="1"/>
  <c r="J10" i="1"/>
  <c r="E5" i="6" l="1"/>
  <c r="D5" i="6"/>
  <c r="C5" i="6"/>
  <c r="B5" i="6"/>
  <c r="A6" i="6"/>
  <c r="E6" i="6" l="1"/>
  <c r="D6" i="6"/>
  <c r="C6" i="6"/>
  <c r="A7" i="6"/>
  <c r="B6" i="6"/>
  <c r="A8" i="6" l="1"/>
  <c r="E7" i="6"/>
  <c r="D7" i="6"/>
  <c r="C7" i="6"/>
  <c r="B7" i="6"/>
  <c r="A9" i="6" l="1"/>
  <c r="E8" i="6"/>
  <c r="C8" i="6"/>
  <c r="D8" i="6"/>
  <c r="B8" i="6"/>
  <c r="A10" i="6" l="1"/>
  <c r="E9" i="6"/>
  <c r="C9" i="6"/>
  <c r="D9" i="6"/>
  <c r="B9" i="6"/>
  <c r="A11" i="6" l="1"/>
  <c r="E10" i="6"/>
  <c r="D10" i="6"/>
  <c r="C10" i="6"/>
  <c r="B10" i="6"/>
  <c r="A12" i="6" l="1"/>
  <c r="D11" i="6"/>
  <c r="E11" i="6"/>
  <c r="C11" i="6"/>
  <c r="B11" i="6"/>
  <c r="A13" i="6" l="1"/>
  <c r="C12" i="6"/>
  <c r="E12" i="6"/>
  <c r="D12" i="6"/>
  <c r="B12" i="6"/>
  <c r="A14" i="6" l="1"/>
  <c r="E13" i="6"/>
  <c r="D13" i="6"/>
  <c r="C13" i="6"/>
  <c r="B13" i="6"/>
  <c r="A15" i="6" l="1"/>
  <c r="E14" i="6"/>
  <c r="D14" i="6"/>
  <c r="C14" i="6"/>
  <c r="B14" i="6"/>
  <c r="A16" i="6" l="1"/>
  <c r="E15" i="6"/>
  <c r="D15" i="6"/>
  <c r="C15" i="6"/>
  <c r="B15" i="6"/>
  <c r="A17" i="6" l="1"/>
  <c r="E16" i="6"/>
  <c r="C16" i="6"/>
  <c r="D16" i="6"/>
  <c r="B16" i="6"/>
  <c r="A18" i="6" l="1"/>
  <c r="E17" i="6"/>
  <c r="C17" i="6"/>
  <c r="D17" i="6"/>
  <c r="B17" i="6"/>
  <c r="A19" i="6" l="1"/>
  <c r="E18" i="6"/>
  <c r="D18" i="6"/>
  <c r="C18" i="6"/>
  <c r="B18" i="6"/>
  <c r="A20" i="6" l="1"/>
  <c r="D19" i="6"/>
  <c r="E19" i="6"/>
  <c r="C19" i="6"/>
  <c r="B19" i="6"/>
  <c r="A21" i="6" l="1"/>
  <c r="C20" i="6"/>
  <c r="E20" i="6"/>
  <c r="D20" i="6"/>
  <c r="B20" i="6"/>
  <c r="A22" i="6" l="1"/>
  <c r="E21" i="6"/>
  <c r="D21" i="6"/>
  <c r="C21" i="6"/>
  <c r="B21" i="6"/>
  <c r="A23" i="6" l="1"/>
  <c r="E22" i="6"/>
  <c r="D22" i="6"/>
  <c r="C22" i="6"/>
  <c r="B22" i="6"/>
  <c r="A24" i="6" l="1"/>
  <c r="E23" i="6"/>
  <c r="D23" i="6"/>
  <c r="C23" i="6"/>
  <c r="B23" i="6"/>
  <c r="A25" i="6" l="1"/>
  <c r="E24" i="6"/>
  <c r="C24" i="6"/>
  <c r="D24" i="6"/>
  <c r="B24" i="6"/>
  <c r="A26" i="6" l="1"/>
  <c r="E25" i="6"/>
  <c r="C25" i="6"/>
  <c r="D25" i="6"/>
  <c r="B25" i="6"/>
  <c r="A27" i="6" l="1"/>
  <c r="E26" i="6"/>
  <c r="D26" i="6"/>
  <c r="C26" i="6"/>
  <c r="B26" i="6"/>
  <c r="A28" i="6" l="1"/>
  <c r="D27" i="6"/>
  <c r="E27" i="6"/>
  <c r="C27" i="6"/>
  <c r="B27" i="6"/>
  <c r="A29" i="6" l="1"/>
  <c r="C28" i="6"/>
  <c r="E28" i="6"/>
  <c r="D28" i="6"/>
  <c r="B28" i="6"/>
  <c r="A30" i="6" l="1"/>
  <c r="E29" i="6"/>
  <c r="D29" i="6"/>
  <c r="C29" i="6"/>
  <c r="B29" i="6"/>
  <c r="A31" i="6" l="1"/>
  <c r="E30" i="6"/>
  <c r="D30" i="6"/>
  <c r="C30" i="6"/>
  <c r="B30" i="6"/>
  <c r="A32" i="6" l="1"/>
  <c r="E31" i="6"/>
  <c r="D31" i="6"/>
  <c r="C31" i="6"/>
  <c r="B31" i="6"/>
  <c r="A33" i="6" l="1"/>
  <c r="E32" i="6"/>
  <c r="C32" i="6"/>
  <c r="D32" i="6"/>
  <c r="B32" i="6"/>
  <c r="A34" i="6" l="1"/>
  <c r="E33" i="6"/>
  <c r="C33" i="6"/>
  <c r="D33" i="6"/>
  <c r="B33" i="6"/>
  <c r="A35" i="6" l="1"/>
  <c r="E34" i="6"/>
  <c r="D34" i="6"/>
  <c r="C34" i="6"/>
  <c r="B34" i="6"/>
  <c r="A36" i="6" l="1"/>
  <c r="D35" i="6"/>
  <c r="C35" i="6"/>
  <c r="E35" i="6"/>
  <c r="B35" i="6"/>
  <c r="A37" i="6" l="1"/>
  <c r="C36" i="6"/>
  <c r="E36" i="6"/>
  <c r="D36" i="6"/>
  <c r="B36" i="6"/>
  <c r="A38" i="6" l="1"/>
  <c r="E37" i="6"/>
  <c r="D37" i="6"/>
  <c r="C37" i="6"/>
  <c r="B37" i="6"/>
  <c r="A39" i="6" l="1"/>
  <c r="E38" i="6"/>
  <c r="D38" i="6"/>
  <c r="C38" i="6"/>
  <c r="B38" i="6"/>
  <c r="A40" i="6" l="1"/>
  <c r="E39" i="6"/>
  <c r="D39" i="6"/>
  <c r="C39" i="6"/>
  <c r="B39" i="6"/>
  <c r="A41" i="6" l="1"/>
  <c r="E40" i="6"/>
  <c r="C40" i="6"/>
  <c r="D40" i="6"/>
  <c r="B40" i="6"/>
  <c r="A42" i="6" l="1"/>
  <c r="E41" i="6"/>
  <c r="C41" i="6"/>
  <c r="D41" i="6"/>
  <c r="B41" i="6"/>
  <c r="A43" i="6" l="1"/>
  <c r="E42" i="6"/>
  <c r="D42" i="6"/>
  <c r="C42" i="6"/>
  <c r="B42" i="6"/>
  <c r="A44" i="6" l="1"/>
  <c r="D43" i="6"/>
  <c r="E43" i="6"/>
  <c r="C43" i="6"/>
  <c r="B43" i="6"/>
  <c r="A45" i="6" l="1"/>
  <c r="C44" i="6"/>
  <c r="E44" i="6"/>
  <c r="D44" i="6"/>
  <c r="B44" i="6"/>
  <c r="A46" i="6" l="1"/>
  <c r="E45" i="6"/>
  <c r="D45" i="6"/>
  <c r="C45" i="6"/>
  <c r="B45" i="6"/>
  <c r="A47" i="6" l="1"/>
  <c r="E46" i="6"/>
  <c r="D46" i="6"/>
  <c r="C46" i="6"/>
  <c r="B46" i="6"/>
  <c r="A48" i="6" l="1"/>
  <c r="E47" i="6"/>
  <c r="D47" i="6"/>
  <c r="C47" i="6"/>
  <c r="B47" i="6"/>
  <c r="A49" i="6" l="1"/>
  <c r="E48" i="6"/>
  <c r="C48" i="6"/>
  <c r="D48" i="6"/>
  <c r="B48" i="6"/>
  <c r="A50" i="6" l="1"/>
  <c r="E49" i="6"/>
  <c r="C49" i="6"/>
  <c r="D49" i="6"/>
  <c r="B49" i="6"/>
  <c r="A51" i="6" l="1"/>
  <c r="E50" i="6"/>
  <c r="D50" i="6"/>
  <c r="C50" i="6"/>
  <c r="B50" i="6"/>
  <c r="A52" i="6" l="1"/>
  <c r="D51" i="6"/>
  <c r="E51" i="6"/>
  <c r="C51" i="6"/>
  <c r="B51" i="6"/>
  <c r="A53" i="6" l="1"/>
  <c r="C52" i="6"/>
  <c r="E52" i="6"/>
  <c r="D52" i="6"/>
  <c r="B52" i="6"/>
  <c r="A54" i="6" l="1"/>
  <c r="E53" i="6"/>
  <c r="D53" i="6"/>
  <c r="C53" i="6"/>
  <c r="B53" i="6"/>
  <c r="A55" i="6" l="1"/>
  <c r="E54" i="6"/>
  <c r="D54" i="6"/>
  <c r="C54" i="6"/>
  <c r="B54" i="6"/>
  <c r="A56" i="6" l="1"/>
  <c r="E55" i="6"/>
  <c r="D55" i="6"/>
  <c r="C55" i="6"/>
  <c r="B55" i="6"/>
  <c r="A57" i="6" l="1"/>
  <c r="E56" i="6"/>
  <c r="C56" i="6"/>
  <c r="D56" i="6"/>
  <c r="B56" i="6"/>
  <c r="A58" i="6" l="1"/>
  <c r="E57" i="6"/>
  <c r="C57" i="6"/>
  <c r="D57" i="6"/>
  <c r="B57" i="6"/>
  <c r="A59" i="6" l="1"/>
  <c r="E58" i="6"/>
  <c r="D58" i="6"/>
  <c r="C58" i="6"/>
  <c r="B58" i="6"/>
  <c r="A60" i="6" l="1"/>
  <c r="D59" i="6"/>
  <c r="E59" i="6"/>
  <c r="C59" i="6"/>
  <c r="B59" i="6"/>
  <c r="A61" i="6" l="1"/>
  <c r="C60" i="6"/>
  <c r="E60" i="6"/>
  <c r="D60" i="6"/>
  <c r="B60" i="6"/>
  <c r="A62" i="6" l="1"/>
  <c r="E61" i="6"/>
  <c r="D61" i="6"/>
  <c r="C61" i="6"/>
  <c r="B61" i="6"/>
  <c r="A63" i="6" l="1"/>
  <c r="E62" i="6"/>
  <c r="D62" i="6"/>
  <c r="C62" i="6"/>
  <c r="B62" i="6"/>
  <c r="A64" i="6" l="1"/>
  <c r="E63" i="6"/>
  <c r="D63" i="6"/>
  <c r="C63" i="6"/>
  <c r="B63" i="6"/>
  <c r="A65" i="6" l="1"/>
  <c r="E64" i="6"/>
  <c r="C64" i="6"/>
  <c r="D64" i="6"/>
  <c r="B64" i="6"/>
  <c r="A66" i="6" l="1"/>
  <c r="E65" i="6"/>
  <c r="C65" i="6"/>
  <c r="D65" i="6"/>
  <c r="B65" i="6"/>
  <c r="A67" i="6" l="1"/>
  <c r="E66" i="6"/>
  <c r="D66" i="6"/>
  <c r="C66" i="6"/>
  <c r="B66" i="6"/>
  <c r="A68" i="6" l="1"/>
  <c r="D67" i="6"/>
  <c r="C67" i="6"/>
  <c r="E67" i="6"/>
  <c r="B67" i="6"/>
  <c r="A69" i="6" l="1"/>
  <c r="C68" i="6"/>
  <c r="E68" i="6"/>
  <c r="D68" i="6"/>
  <c r="B68" i="6"/>
  <c r="A70" i="6" l="1"/>
  <c r="E69" i="6"/>
  <c r="D69" i="6"/>
  <c r="C69" i="6"/>
  <c r="B69" i="6"/>
  <c r="A71" i="6" l="1"/>
  <c r="E70" i="6"/>
  <c r="D70" i="6"/>
  <c r="C70" i="6"/>
  <c r="B70" i="6"/>
  <c r="A72" i="6" l="1"/>
  <c r="E71" i="6"/>
  <c r="D71" i="6"/>
  <c r="C71" i="6"/>
  <c r="B71" i="6"/>
  <c r="A73" i="6" l="1"/>
  <c r="E72" i="6"/>
  <c r="C72" i="6"/>
  <c r="D72" i="6"/>
  <c r="B72" i="6"/>
  <c r="A74" i="6" l="1"/>
  <c r="E73" i="6"/>
  <c r="C73" i="6"/>
  <c r="D73" i="6"/>
  <c r="B73" i="6"/>
  <c r="A75" i="6" l="1"/>
  <c r="E74" i="6"/>
  <c r="D74" i="6"/>
  <c r="C74" i="6"/>
  <c r="B74" i="6"/>
  <c r="A76" i="6" l="1"/>
  <c r="D75" i="6"/>
  <c r="E75" i="6"/>
  <c r="C75" i="6"/>
  <c r="B75" i="6"/>
  <c r="A77" i="6" l="1"/>
  <c r="C76" i="6"/>
  <c r="E76" i="6"/>
  <c r="D76" i="6"/>
  <c r="B76" i="6"/>
  <c r="A78" i="6" l="1"/>
  <c r="E77" i="6"/>
  <c r="D77" i="6"/>
  <c r="C77" i="6"/>
  <c r="B77" i="6"/>
  <c r="A79" i="6" l="1"/>
  <c r="E78" i="6"/>
  <c r="D78" i="6"/>
  <c r="C78" i="6"/>
  <c r="B78" i="6"/>
  <c r="A80" i="6" l="1"/>
  <c r="E79" i="6"/>
  <c r="D79" i="6"/>
  <c r="C79" i="6"/>
  <c r="B79" i="6"/>
  <c r="A81" i="6" l="1"/>
  <c r="E80" i="6"/>
  <c r="C80" i="6"/>
  <c r="D80" i="6"/>
  <c r="B80" i="6"/>
  <c r="A82" i="6" l="1"/>
  <c r="E81" i="6"/>
  <c r="C81" i="6"/>
  <c r="D81" i="6"/>
  <c r="B81" i="6"/>
  <c r="A83" i="6" l="1"/>
  <c r="E82" i="6"/>
  <c r="D82" i="6"/>
  <c r="C82" i="6"/>
  <c r="B82" i="6"/>
  <c r="A84" i="6" l="1"/>
  <c r="D83" i="6"/>
  <c r="E83" i="6"/>
  <c r="C83" i="6"/>
  <c r="B83" i="6"/>
  <c r="A85" i="6" l="1"/>
  <c r="C84" i="6"/>
  <c r="E84" i="6"/>
  <c r="B84" i="6"/>
  <c r="D84" i="6"/>
  <c r="A86" i="6" l="1"/>
  <c r="E85" i="6"/>
  <c r="D85" i="6"/>
  <c r="C85" i="6"/>
  <c r="B85" i="6"/>
  <c r="A87" i="6" l="1"/>
  <c r="E86" i="6"/>
  <c r="D86" i="6"/>
  <c r="C86" i="6"/>
  <c r="B86" i="6"/>
  <c r="A88" i="6" l="1"/>
  <c r="E87" i="6"/>
  <c r="D87" i="6"/>
  <c r="C87" i="6"/>
  <c r="B87" i="6"/>
  <c r="A89" i="6" l="1"/>
  <c r="E88" i="6"/>
  <c r="C88" i="6"/>
  <c r="D88" i="6"/>
  <c r="B88" i="6"/>
  <c r="A90" i="6" l="1"/>
  <c r="E89" i="6"/>
  <c r="C89" i="6"/>
  <c r="D89" i="6"/>
  <c r="B89" i="6"/>
  <c r="A91" i="6" l="1"/>
  <c r="E90" i="6"/>
  <c r="D90" i="6"/>
  <c r="C90" i="6"/>
  <c r="B90" i="6"/>
  <c r="A92" i="6" l="1"/>
  <c r="D91" i="6"/>
  <c r="E91" i="6"/>
  <c r="C91" i="6"/>
  <c r="B91" i="6"/>
  <c r="A93" i="6" l="1"/>
  <c r="C92" i="6"/>
  <c r="E92" i="6"/>
  <c r="D92" i="6"/>
  <c r="B92" i="6"/>
  <c r="A94" i="6" l="1"/>
  <c r="E93" i="6"/>
  <c r="D93" i="6"/>
  <c r="C93" i="6"/>
  <c r="B93" i="6"/>
  <c r="A95" i="6" l="1"/>
  <c r="E94" i="6"/>
  <c r="D94" i="6"/>
  <c r="C94" i="6"/>
  <c r="B94" i="6"/>
  <c r="A96" i="6" l="1"/>
  <c r="E95" i="6"/>
  <c r="D95" i="6"/>
  <c r="C95" i="6"/>
  <c r="B95" i="6"/>
  <c r="A97" i="6" l="1"/>
  <c r="E96" i="6"/>
  <c r="C96" i="6"/>
  <c r="D96" i="6"/>
  <c r="B96" i="6"/>
  <c r="A98" i="6" l="1"/>
  <c r="E97" i="6"/>
  <c r="C97" i="6"/>
  <c r="D97" i="6"/>
  <c r="B97" i="6"/>
  <c r="A99" i="6" l="1"/>
  <c r="E98" i="6"/>
  <c r="D98" i="6"/>
  <c r="C98" i="6"/>
  <c r="B98" i="6"/>
  <c r="A100" i="6" l="1"/>
  <c r="D99" i="6"/>
  <c r="C99" i="6"/>
  <c r="E99" i="6"/>
  <c r="B99" i="6"/>
  <c r="A101" i="6" l="1"/>
  <c r="C100" i="6"/>
  <c r="B100" i="6"/>
  <c r="E100" i="6"/>
  <c r="D100" i="6"/>
  <c r="A102" i="6" l="1"/>
  <c r="E101" i="6"/>
  <c r="D101" i="6"/>
  <c r="C101" i="6"/>
  <c r="B101" i="6"/>
  <c r="A103" i="6" l="1"/>
  <c r="E102" i="6"/>
  <c r="D102" i="6"/>
  <c r="C102" i="6"/>
  <c r="B102" i="6"/>
  <c r="A104" i="6" l="1"/>
  <c r="E103" i="6"/>
  <c r="D103" i="6"/>
  <c r="C103" i="6"/>
  <c r="B103" i="6"/>
  <c r="A105" i="6" l="1"/>
  <c r="E104" i="6"/>
  <c r="C104" i="6"/>
  <c r="D104" i="6"/>
  <c r="B104" i="6"/>
  <c r="A106" i="6" l="1"/>
  <c r="E105" i="6"/>
  <c r="C105" i="6"/>
  <c r="D105" i="6"/>
  <c r="B105" i="6"/>
  <c r="A107" i="6" l="1"/>
  <c r="E106" i="6"/>
  <c r="D106" i="6"/>
  <c r="C106" i="6"/>
  <c r="B106" i="6"/>
  <c r="A108" i="6" l="1"/>
  <c r="D107" i="6"/>
  <c r="E107" i="6"/>
  <c r="C107" i="6"/>
  <c r="B107" i="6"/>
  <c r="A109" i="6" l="1"/>
  <c r="C108" i="6"/>
  <c r="E108" i="6"/>
  <c r="D108" i="6"/>
  <c r="B108" i="6"/>
  <c r="A110" i="6" l="1"/>
  <c r="E109" i="6"/>
  <c r="D109" i="6"/>
  <c r="C109" i="6"/>
  <c r="B109" i="6"/>
  <c r="A111" i="6" l="1"/>
  <c r="E110" i="6"/>
  <c r="D110" i="6"/>
  <c r="C110" i="6"/>
  <c r="B110" i="6"/>
  <c r="A112" i="6" l="1"/>
  <c r="E111" i="6"/>
  <c r="D111" i="6"/>
  <c r="C111" i="6"/>
  <c r="B111" i="6"/>
  <c r="A113" i="6" l="1"/>
  <c r="E112" i="6"/>
  <c r="C112" i="6"/>
  <c r="D112" i="6"/>
  <c r="B112" i="6"/>
  <c r="A114" i="6" l="1"/>
  <c r="E113" i="6"/>
  <c r="C113" i="6"/>
  <c r="D113" i="6"/>
  <c r="B113" i="6"/>
  <c r="A115" i="6" l="1"/>
  <c r="E114" i="6"/>
  <c r="D114" i="6"/>
  <c r="C114" i="6"/>
  <c r="B114" i="6"/>
  <c r="A116" i="6" l="1"/>
  <c r="D115" i="6"/>
  <c r="E115" i="6"/>
  <c r="C115" i="6"/>
  <c r="B115" i="6"/>
  <c r="A117" i="6" l="1"/>
  <c r="C116" i="6"/>
  <c r="E116" i="6"/>
  <c r="D116" i="6"/>
  <c r="B116" i="6"/>
  <c r="A118" i="6" l="1"/>
  <c r="E117" i="6"/>
  <c r="D117" i="6"/>
  <c r="C117" i="6"/>
  <c r="B117" i="6"/>
  <c r="A119" i="6" l="1"/>
  <c r="E118" i="6"/>
  <c r="D118" i="6"/>
  <c r="C118" i="6"/>
  <c r="B118" i="6"/>
  <c r="A120" i="6" l="1"/>
  <c r="E119" i="6"/>
  <c r="D119" i="6"/>
  <c r="C119" i="6"/>
  <c r="B119" i="6"/>
  <c r="A121" i="6" l="1"/>
  <c r="E120" i="6"/>
  <c r="C120" i="6"/>
  <c r="D120" i="6"/>
  <c r="B120" i="6"/>
  <c r="A122" i="6" l="1"/>
  <c r="E121" i="6"/>
  <c r="C121" i="6"/>
  <c r="D121" i="6"/>
  <c r="B121" i="6"/>
  <c r="A123" i="6" l="1"/>
  <c r="E122" i="6"/>
  <c r="D122" i="6"/>
  <c r="C122" i="6"/>
  <c r="B122" i="6"/>
  <c r="A124" i="6" l="1"/>
  <c r="D123" i="6"/>
  <c r="E123" i="6"/>
  <c r="C123" i="6"/>
  <c r="B123" i="6"/>
  <c r="A125" i="6" l="1"/>
  <c r="C124" i="6"/>
  <c r="E124" i="6"/>
  <c r="D124" i="6"/>
  <c r="B124" i="6"/>
  <c r="A126" i="6" l="1"/>
  <c r="E125" i="6"/>
  <c r="D125" i="6"/>
  <c r="C125" i="6"/>
  <c r="B125" i="6"/>
  <c r="A127" i="6" l="1"/>
  <c r="E126" i="6"/>
  <c r="D126" i="6"/>
  <c r="C126" i="6"/>
  <c r="B126" i="6"/>
  <c r="A128" i="6" l="1"/>
  <c r="E127" i="6"/>
  <c r="D127" i="6"/>
  <c r="C127" i="6"/>
  <c r="B127" i="6"/>
  <c r="A129" i="6" l="1"/>
  <c r="E128" i="6"/>
  <c r="C128" i="6"/>
  <c r="D128" i="6"/>
  <c r="B128" i="6"/>
  <c r="A130" i="6" l="1"/>
  <c r="E129" i="6"/>
  <c r="C129" i="6"/>
  <c r="D129" i="6"/>
  <c r="B129" i="6"/>
  <c r="A131" i="6" l="1"/>
  <c r="E130" i="6"/>
  <c r="D130" i="6"/>
  <c r="C130" i="6"/>
  <c r="B130" i="6"/>
  <c r="A132" i="6" l="1"/>
  <c r="D131" i="6"/>
  <c r="C131" i="6"/>
  <c r="E131" i="6"/>
  <c r="B131" i="6"/>
  <c r="A133" i="6" l="1"/>
  <c r="C132" i="6"/>
  <c r="D132" i="6"/>
  <c r="E132" i="6"/>
  <c r="B132" i="6"/>
  <c r="A134" i="6" l="1"/>
  <c r="E133" i="6"/>
  <c r="D133" i="6"/>
  <c r="C133" i="6"/>
  <c r="B133" i="6"/>
  <c r="A135" i="6" l="1"/>
  <c r="E134" i="6"/>
  <c r="D134" i="6"/>
  <c r="C134" i="6"/>
  <c r="B134" i="6"/>
  <c r="A136" i="6" l="1"/>
  <c r="E135" i="6"/>
  <c r="D135" i="6"/>
  <c r="C135" i="6"/>
  <c r="B135" i="6"/>
  <c r="A137" i="6" l="1"/>
  <c r="E136" i="6"/>
  <c r="C136" i="6"/>
  <c r="D136" i="6"/>
  <c r="B136" i="6"/>
  <c r="A138" i="6" l="1"/>
  <c r="E137" i="6"/>
  <c r="C137" i="6"/>
  <c r="D137" i="6"/>
  <c r="B137" i="6"/>
  <c r="A139" i="6" l="1"/>
  <c r="E138" i="6"/>
  <c r="D138" i="6"/>
  <c r="C138" i="6"/>
  <c r="B138" i="6"/>
  <c r="A140" i="6" l="1"/>
  <c r="D139" i="6"/>
  <c r="E139" i="6"/>
  <c r="C139" i="6"/>
  <c r="B139" i="6"/>
  <c r="A141" i="6" l="1"/>
  <c r="C140" i="6"/>
  <c r="E140" i="6"/>
  <c r="D140" i="6"/>
  <c r="B140" i="6"/>
  <c r="A142" i="6" l="1"/>
  <c r="E141" i="6"/>
  <c r="D141" i="6"/>
  <c r="C141" i="6"/>
  <c r="B141" i="6"/>
  <c r="A143" i="6" l="1"/>
  <c r="E142" i="6"/>
  <c r="D142" i="6"/>
  <c r="C142" i="6"/>
  <c r="B142" i="6"/>
  <c r="A144" i="6" l="1"/>
  <c r="E143" i="6"/>
  <c r="D143" i="6"/>
  <c r="C143" i="6"/>
  <c r="B143" i="6"/>
  <c r="A145" i="6" l="1"/>
  <c r="E144" i="6"/>
  <c r="C144" i="6"/>
  <c r="D144" i="6"/>
  <c r="B144" i="6"/>
  <c r="A146" i="6" l="1"/>
  <c r="E145" i="6"/>
  <c r="C145" i="6"/>
  <c r="D145" i="6"/>
  <c r="B145" i="6"/>
  <c r="A147" i="6" l="1"/>
  <c r="E146" i="6"/>
  <c r="D146" i="6"/>
  <c r="C146" i="6"/>
  <c r="B146" i="6"/>
  <c r="A148" i="6" l="1"/>
  <c r="D147" i="6"/>
  <c r="E147" i="6"/>
  <c r="C147" i="6"/>
  <c r="B147" i="6"/>
  <c r="A149" i="6" l="1"/>
  <c r="C148" i="6"/>
  <c r="E148" i="6"/>
  <c r="D148" i="6"/>
  <c r="B148" i="6"/>
  <c r="A150" i="6" l="1"/>
  <c r="E149" i="6"/>
  <c r="D149" i="6"/>
  <c r="C149" i="6"/>
  <c r="B149" i="6"/>
  <c r="A151" i="6" l="1"/>
  <c r="E150" i="6"/>
  <c r="D150" i="6"/>
  <c r="C150" i="6"/>
  <c r="B150" i="6"/>
  <c r="A152" i="6" l="1"/>
  <c r="E151" i="6"/>
  <c r="D151" i="6"/>
  <c r="C151" i="6"/>
  <c r="B151" i="6"/>
  <c r="A153" i="6" l="1"/>
  <c r="E152" i="6"/>
  <c r="C152" i="6"/>
  <c r="D152" i="6"/>
  <c r="B152" i="6"/>
  <c r="A154" i="6" l="1"/>
  <c r="E153" i="6"/>
  <c r="C153" i="6"/>
  <c r="D153" i="6"/>
  <c r="B153" i="6"/>
  <c r="A155" i="6" l="1"/>
  <c r="E154" i="6"/>
  <c r="D154" i="6"/>
  <c r="C154" i="6"/>
  <c r="B154" i="6"/>
  <c r="A156" i="6" l="1"/>
  <c r="D155" i="6"/>
  <c r="E155" i="6"/>
  <c r="C155" i="6"/>
  <c r="B155" i="6"/>
  <c r="A157" i="6" l="1"/>
  <c r="C156" i="6"/>
  <c r="E156" i="6"/>
  <c r="D156" i="6"/>
  <c r="B156" i="6"/>
  <c r="A158" i="6" l="1"/>
  <c r="E157" i="6"/>
  <c r="D157" i="6"/>
  <c r="C157" i="6"/>
  <c r="B157" i="6"/>
  <c r="A159" i="6" l="1"/>
  <c r="E158" i="6"/>
  <c r="D158" i="6"/>
  <c r="C158" i="6"/>
  <c r="B158" i="6"/>
  <c r="A160" i="6" l="1"/>
  <c r="E159" i="6"/>
  <c r="D159" i="6"/>
  <c r="C159" i="6"/>
  <c r="B159" i="6"/>
  <c r="A161" i="6" l="1"/>
  <c r="E160" i="6"/>
  <c r="C160" i="6"/>
  <c r="D160" i="6"/>
  <c r="B160" i="6"/>
  <c r="A162" i="6" l="1"/>
  <c r="E161" i="6"/>
  <c r="C161" i="6"/>
  <c r="D161" i="6"/>
  <c r="B161" i="6"/>
  <c r="A163" i="6" l="1"/>
  <c r="E162" i="6"/>
  <c r="D162" i="6"/>
  <c r="C162" i="6"/>
  <c r="B162" i="6"/>
  <c r="A164" i="6" l="1"/>
  <c r="D163" i="6"/>
  <c r="C163" i="6"/>
  <c r="E163" i="6"/>
  <c r="B163" i="6"/>
  <c r="A165" i="6" l="1"/>
  <c r="C164" i="6"/>
  <c r="E164" i="6"/>
  <c r="D164" i="6"/>
  <c r="B164" i="6"/>
  <c r="A166" i="6" l="1"/>
  <c r="E165" i="6"/>
  <c r="D165" i="6"/>
  <c r="C165" i="6"/>
  <c r="B165" i="6"/>
  <c r="A167" i="6" l="1"/>
  <c r="E166" i="6"/>
  <c r="D166" i="6"/>
  <c r="C166" i="6"/>
  <c r="B166" i="6"/>
  <c r="A168" i="6" l="1"/>
  <c r="E167" i="6"/>
  <c r="D167" i="6"/>
  <c r="C167" i="6"/>
  <c r="B167" i="6"/>
  <c r="A169" i="6" l="1"/>
  <c r="E168" i="6"/>
  <c r="C168" i="6"/>
  <c r="D168" i="6"/>
  <c r="B168" i="6"/>
  <c r="A170" i="6" l="1"/>
  <c r="E169" i="6"/>
  <c r="C169" i="6"/>
  <c r="D169" i="6"/>
  <c r="B169" i="6"/>
  <c r="A171" i="6" l="1"/>
  <c r="E170" i="6"/>
  <c r="D170" i="6"/>
  <c r="C170" i="6"/>
  <c r="B170" i="6"/>
  <c r="A172" i="6" l="1"/>
  <c r="D171" i="6"/>
  <c r="E171" i="6"/>
  <c r="C171" i="6"/>
  <c r="B171" i="6"/>
  <c r="A173" i="6" l="1"/>
  <c r="C172" i="6"/>
  <c r="E172" i="6"/>
  <c r="D172" i="6"/>
  <c r="B172" i="6"/>
  <c r="A174" i="6" l="1"/>
  <c r="E173" i="6"/>
  <c r="D173" i="6"/>
  <c r="C173" i="6"/>
  <c r="B173" i="6"/>
  <c r="A175" i="6" l="1"/>
  <c r="E174" i="6"/>
  <c r="D174" i="6"/>
  <c r="C174" i="6"/>
  <c r="B174" i="6"/>
  <c r="A176" i="6" l="1"/>
  <c r="E175" i="6"/>
  <c r="D175" i="6"/>
  <c r="C175" i="6"/>
  <c r="B175" i="6"/>
  <c r="A177" i="6" l="1"/>
  <c r="E176" i="6"/>
  <c r="C176" i="6"/>
  <c r="D176" i="6"/>
  <c r="B176" i="6"/>
  <c r="A178" i="6" l="1"/>
  <c r="E177" i="6"/>
  <c r="C177" i="6"/>
  <c r="D177" i="6"/>
  <c r="B177" i="6"/>
  <c r="A179" i="6" l="1"/>
  <c r="E178" i="6"/>
  <c r="D178" i="6"/>
  <c r="C178" i="6"/>
  <c r="B178" i="6"/>
  <c r="A180" i="6" l="1"/>
  <c r="D179" i="6"/>
  <c r="E179" i="6"/>
  <c r="C179" i="6"/>
  <c r="B179" i="6"/>
  <c r="A181" i="6" l="1"/>
  <c r="C180" i="6"/>
  <c r="E180" i="6"/>
  <c r="D180" i="6"/>
  <c r="B180" i="6"/>
  <c r="A182" i="6" l="1"/>
  <c r="E181" i="6"/>
  <c r="D181" i="6"/>
  <c r="C181" i="6"/>
  <c r="B181" i="6"/>
  <c r="A183" i="6" l="1"/>
  <c r="E182" i="6"/>
  <c r="D182" i="6"/>
  <c r="C182" i="6"/>
  <c r="B182" i="6"/>
  <c r="A184" i="6" l="1"/>
  <c r="E183" i="6"/>
  <c r="D183" i="6"/>
  <c r="C183" i="6"/>
  <c r="B183" i="6"/>
  <c r="A185" i="6" l="1"/>
  <c r="E184" i="6"/>
  <c r="C184" i="6"/>
  <c r="D184" i="6"/>
  <c r="B184" i="6"/>
  <c r="A186" i="6" l="1"/>
  <c r="E185" i="6"/>
  <c r="C185" i="6"/>
  <c r="D185" i="6"/>
  <c r="B185" i="6"/>
  <c r="A187" i="6" l="1"/>
  <c r="E186" i="6"/>
  <c r="D186" i="6"/>
  <c r="C186" i="6"/>
  <c r="B186" i="6"/>
  <c r="A188" i="6" l="1"/>
  <c r="D187" i="6"/>
  <c r="E187" i="6"/>
  <c r="C187" i="6"/>
  <c r="B187" i="6"/>
  <c r="A189" i="6" l="1"/>
  <c r="C188" i="6"/>
  <c r="E188" i="6"/>
  <c r="D188" i="6"/>
  <c r="B188" i="6"/>
  <c r="A190" i="6" l="1"/>
  <c r="E189" i="6"/>
  <c r="D189" i="6"/>
  <c r="C189" i="6"/>
  <c r="B189" i="6"/>
  <c r="A191" i="6" l="1"/>
  <c r="E190" i="6"/>
  <c r="D190" i="6"/>
  <c r="C190" i="6"/>
  <c r="B190" i="6"/>
  <c r="A192" i="6" l="1"/>
  <c r="E191" i="6"/>
  <c r="D191" i="6"/>
  <c r="C191" i="6"/>
  <c r="B191" i="6"/>
  <c r="A193" i="6" l="1"/>
  <c r="E192" i="6"/>
  <c r="C192" i="6"/>
  <c r="D192" i="6"/>
  <c r="B192" i="6"/>
  <c r="A194" i="6" l="1"/>
  <c r="E193" i="6"/>
  <c r="C193" i="6"/>
  <c r="D193" i="6"/>
  <c r="B193" i="6"/>
  <c r="A195" i="6" l="1"/>
  <c r="E194" i="6"/>
  <c r="D194" i="6"/>
  <c r="C194" i="6"/>
  <c r="B194" i="6"/>
  <c r="A196" i="6" l="1"/>
  <c r="D195" i="6"/>
  <c r="C195" i="6"/>
  <c r="E195" i="6"/>
  <c r="B195" i="6"/>
  <c r="A197" i="6" l="1"/>
  <c r="C196" i="6"/>
  <c r="E196" i="6"/>
  <c r="D196" i="6"/>
  <c r="B196" i="6"/>
  <c r="A198" i="6" l="1"/>
  <c r="E197" i="6"/>
  <c r="D197" i="6"/>
  <c r="C197" i="6"/>
  <c r="B197" i="6"/>
  <c r="A199" i="6" l="1"/>
  <c r="E198" i="6"/>
  <c r="D198" i="6"/>
  <c r="C198" i="6"/>
  <c r="B198" i="6"/>
  <c r="A200" i="6" l="1"/>
  <c r="E199" i="6"/>
  <c r="D199" i="6"/>
  <c r="C199" i="6"/>
  <c r="B199" i="6"/>
  <c r="A201" i="6" l="1"/>
  <c r="E200" i="6"/>
  <c r="C200" i="6"/>
  <c r="D200" i="6"/>
  <c r="B200" i="6"/>
  <c r="A202" i="6" l="1"/>
  <c r="E201" i="6"/>
  <c r="C201" i="6"/>
  <c r="D201" i="6"/>
  <c r="B201" i="6"/>
  <c r="A203" i="6" l="1"/>
  <c r="E202" i="6"/>
  <c r="D202" i="6"/>
  <c r="C202" i="6"/>
  <c r="B202" i="6"/>
  <c r="A204" i="6" l="1"/>
  <c r="D203" i="6"/>
  <c r="E203" i="6"/>
  <c r="C203" i="6"/>
  <c r="B203" i="6"/>
  <c r="A205" i="6" l="1"/>
  <c r="C204" i="6"/>
  <c r="E204" i="6"/>
  <c r="D204" i="6"/>
  <c r="B204" i="6"/>
  <c r="A206" i="6" l="1"/>
  <c r="E205" i="6"/>
  <c r="D205" i="6"/>
  <c r="C205" i="6"/>
  <c r="B205" i="6"/>
  <c r="A207" i="6" l="1"/>
  <c r="E206" i="6"/>
  <c r="D206" i="6"/>
  <c r="C206" i="6"/>
  <c r="B206" i="6"/>
  <c r="A208" i="6" l="1"/>
  <c r="E207" i="6"/>
  <c r="D207" i="6"/>
  <c r="C207" i="6"/>
  <c r="B207" i="6"/>
  <c r="A209" i="6" l="1"/>
  <c r="E208" i="6"/>
  <c r="C208" i="6"/>
  <c r="D208" i="6"/>
  <c r="B208" i="6"/>
  <c r="A210" i="6" l="1"/>
  <c r="E209" i="6"/>
  <c r="C209" i="6"/>
  <c r="D209" i="6"/>
  <c r="B209" i="6"/>
  <c r="A211" i="6" l="1"/>
  <c r="E210" i="6"/>
  <c r="D210" i="6"/>
  <c r="C210" i="6"/>
  <c r="B210" i="6"/>
  <c r="A212" i="6" l="1"/>
  <c r="D211" i="6"/>
  <c r="E211" i="6"/>
  <c r="C211" i="6"/>
  <c r="B211" i="6"/>
  <c r="A213" i="6" l="1"/>
  <c r="C212" i="6"/>
  <c r="E212" i="6"/>
  <c r="D212" i="6"/>
  <c r="B212" i="6"/>
  <c r="A214" i="6" l="1"/>
  <c r="E213" i="6"/>
  <c r="D213" i="6"/>
  <c r="C213" i="6"/>
  <c r="B213" i="6"/>
  <c r="A215" i="6" l="1"/>
  <c r="E214" i="6"/>
  <c r="D214" i="6"/>
  <c r="C214" i="6"/>
  <c r="B214" i="6"/>
  <c r="A216" i="6" l="1"/>
  <c r="E215" i="6"/>
  <c r="D215" i="6"/>
  <c r="C215" i="6"/>
  <c r="B215" i="6"/>
  <c r="A217" i="6" l="1"/>
  <c r="E216" i="6"/>
  <c r="C216" i="6"/>
  <c r="D216" i="6"/>
  <c r="B216" i="6"/>
  <c r="A218" i="6" l="1"/>
  <c r="E217" i="6"/>
  <c r="C217" i="6"/>
  <c r="D217" i="6"/>
  <c r="B217" i="6"/>
  <c r="A219" i="6" l="1"/>
  <c r="E218" i="6"/>
  <c r="D218" i="6"/>
  <c r="C218" i="6"/>
  <c r="B218" i="6"/>
  <c r="A220" i="6" l="1"/>
  <c r="D219" i="6"/>
  <c r="E219" i="6"/>
  <c r="C219" i="6"/>
  <c r="B219" i="6"/>
  <c r="A221" i="6" l="1"/>
  <c r="C220" i="6"/>
  <c r="E220" i="6"/>
  <c r="D220" i="6"/>
  <c r="B220" i="6"/>
  <c r="A222" i="6" l="1"/>
  <c r="E221" i="6"/>
  <c r="D221" i="6"/>
  <c r="C221" i="6"/>
  <c r="B221" i="6"/>
  <c r="A223" i="6" l="1"/>
  <c r="E222" i="6"/>
  <c r="D222" i="6"/>
  <c r="C222" i="6"/>
  <c r="B222" i="6"/>
  <c r="A224" i="6" l="1"/>
  <c r="E223" i="6"/>
  <c r="D223" i="6"/>
  <c r="C223" i="6"/>
  <c r="B223" i="6"/>
  <c r="A225" i="6" l="1"/>
  <c r="E224" i="6"/>
  <c r="C224" i="6"/>
  <c r="D224" i="6"/>
  <c r="B224" i="6"/>
  <c r="A226" i="6" l="1"/>
  <c r="E225" i="6"/>
  <c r="C225" i="6"/>
  <c r="D225" i="6"/>
  <c r="B225" i="6"/>
  <c r="A227" i="6" l="1"/>
  <c r="E226" i="6"/>
  <c r="D226" i="6"/>
  <c r="C226" i="6"/>
  <c r="B226" i="6"/>
  <c r="A228" i="6" l="1"/>
  <c r="D227" i="6"/>
  <c r="C227" i="6"/>
  <c r="E227" i="6"/>
  <c r="B227" i="6"/>
  <c r="A229" i="6" l="1"/>
  <c r="C228" i="6"/>
  <c r="E228" i="6"/>
  <c r="D228" i="6"/>
  <c r="B228" i="6"/>
  <c r="A230" i="6" l="1"/>
  <c r="E229" i="6"/>
  <c r="D229" i="6"/>
  <c r="C229" i="6"/>
  <c r="B229" i="6"/>
  <c r="A231" i="6" l="1"/>
  <c r="E230" i="6"/>
  <c r="D230" i="6"/>
  <c r="C230" i="6"/>
  <c r="B230" i="6"/>
  <c r="A232" i="6" l="1"/>
  <c r="E231" i="6"/>
  <c r="D231" i="6"/>
  <c r="C231" i="6"/>
  <c r="B231" i="6"/>
  <c r="A233" i="6" l="1"/>
  <c r="E232" i="6"/>
  <c r="C232" i="6"/>
  <c r="D232" i="6"/>
  <c r="B232" i="6"/>
  <c r="A234" i="6" l="1"/>
  <c r="E233" i="6"/>
  <c r="C233" i="6"/>
  <c r="D233" i="6"/>
  <c r="B233" i="6"/>
  <c r="A235" i="6" l="1"/>
  <c r="E234" i="6"/>
  <c r="D234" i="6"/>
  <c r="C234" i="6"/>
  <c r="B234" i="6"/>
  <c r="A236" i="6" l="1"/>
  <c r="D235" i="6"/>
  <c r="E235" i="6"/>
  <c r="C235" i="6"/>
  <c r="B235" i="6"/>
  <c r="A237" i="6" l="1"/>
  <c r="C236" i="6"/>
  <c r="E236" i="6"/>
  <c r="D236" i="6"/>
  <c r="B236" i="6"/>
  <c r="A238" i="6" l="1"/>
  <c r="E237" i="6"/>
  <c r="D237" i="6"/>
  <c r="C237" i="6"/>
  <c r="B237" i="6"/>
  <c r="A239" i="6" l="1"/>
  <c r="E238" i="6"/>
  <c r="D238" i="6"/>
  <c r="C238" i="6"/>
  <c r="B238" i="6"/>
  <c r="A240" i="6" l="1"/>
  <c r="E239" i="6"/>
  <c r="D239" i="6"/>
  <c r="C239" i="6"/>
  <c r="B239" i="6"/>
  <c r="A241" i="6" l="1"/>
  <c r="E240" i="6"/>
  <c r="C240" i="6"/>
  <c r="D240" i="6"/>
  <c r="B240" i="6"/>
  <c r="A242" i="6" l="1"/>
  <c r="E241" i="6"/>
  <c r="C241" i="6"/>
  <c r="D241" i="6"/>
  <c r="B241" i="6"/>
  <c r="A243" i="6" l="1"/>
  <c r="E242" i="6"/>
  <c r="D242" i="6"/>
  <c r="C242" i="6"/>
  <c r="B242" i="6"/>
  <c r="A244" i="6" l="1"/>
  <c r="D243" i="6"/>
  <c r="E243" i="6"/>
  <c r="C243" i="6"/>
  <c r="B243" i="6"/>
  <c r="A245" i="6" l="1"/>
  <c r="C244" i="6"/>
  <c r="E244" i="6"/>
  <c r="D244" i="6"/>
  <c r="B244" i="6"/>
  <c r="A246" i="6" l="1"/>
  <c r="E245" i="6"/>
  <c r="D245" i="6"/>
  <c r="C245" i="6"/>
  <c r="B245" i="6"/>
  <c r="A247" i="6" l="1"/>
  <c r="E246" i="6"/>
  <c r="D246" i="6"/>
  <c r="C246" i="6"/>
  <c r="B246" i="6"/>
  <c r="A248" i="6" l="1"/>
  <c r="E247" i="6"/>
  <c r="D247" i="6"/>
  <c r="C247" i="6"/>
  <c r="B247" i="6"/>
  <c r="A249" i="6" l="1"/>
  <c r="E248" i="6"/>
  <c r="C248" i="6"/>
  <c r="D248" i="6"/>
  <c r="B248" i="6"/>
  <c r="A250" i="6" l="1"/>
  <c r="E249" i="6"/>
  <c r="C249" i="6"/>
  <c r="D249" i="6"/>
  <c r="B249" i="6"/>
  <c r="A251" i="6" l="1"/>
  <c r="E250" i="6"/>
  <c r="D250" i="6"/>
  <c r="C250" i="6"/>
  <c r="B250" i="6"/>
  <c r="A252" i="6" l="1"/>
  <c r="D251" i="6"/>
  <c r="E251" i="6"/>
  <c r="C251" i="6"/>
  <c r="B251" i="6"/>
  <c r="A253" i="6" l="1"/>
  <c r="C252" i="6"/>
  <c r="E252" i="6"/>
  <c r="D252" i="6"/>
  <c r="B252" i="6"/>
  <c r="A254" i="6" l="1"/>
  <c r="E253" i="6"/>
  <c r="D253" i="6"/>
  <c r="C253" i="6"/>
  <c r="B253" i="6"/>
  <c r="A255" i="6" l="1"/>
  <c r="E254" i="6"/>
  <c r="D254" i="6"/>
  <c r="C254" i="6"/>
  <c r="B254" i="6"/>
  <c r="A256" i="6" l="1"/>
  <c r="E255" i="6"/>
  <c r="D255" i="6"/>
  <c r="C255" i="6"/>
  <c r="B255" i="6"/>
  <c r="A257" i="6" l="1"/>
  <c r="E256" i="6"/>
  <c r="C256" i="6"/>
  <c r="D256" i="6"/>
  <c r="B256" i="6"/>
  <c r="A258" i="6" l="1"/>
  <c r="E257" i="6"/>
  <c r="C257" i="6"/>
  <c r="D257" i="6"/>
  <c r="B257" i="6"/>
  <c r="A259" i="6" l="1"/>
  <c r="E258" i="6"/>
  <c r="D258" i="6"/>
  <c r="C258" i="6"/>
  <c r="B258" i="6"/>
  <c r="A260" i="6" l="1"/>
  <c r="D259" i="6"/>
  <c r="C259" i="6"/>
  <c r="E259" i="6"/>
  <c r="B259" i="6"/>
  <c r="A261" i="6" l="1"/>
  <c r="C260" i="6"/>
  <c r="D260" i="6"/>
  <c r="E260" i="6"/>
  <c r="B260" i="6"/>
  <c r="A262" i="6" l="1"/>
  <c r="E261" i="6"/>
  <c r="D261" i="6"/>
  <c r="C261" i="6"/>
  <c r="B261" i="6"/>
  <c r="A263" i="6" l="1"/>
  <c r="E262" i="6"/>
  <c r="D262" i="6"/>
  <c r="C262" i="6"/>
  <c r="B262" i="6"/>
  <c r="A264" i="6" l="1"/>
  <c r="E263" i="6"/>
  <c r="D263" i="6"/>
  <c r="C263" i="6"/>
  <c r="B263" i="6"/>
  <c r="A265" i="6" l="1"/>
  <c r="E264" i="6"/>
  <c r="C264" i="6"/>
  <c r="D264" i="6"/>
  <c r="B264" i="6"/>
  <c r="A266" i="6" l="1"/>
  <c r="E265" i="6"/>
  <c r="C265" i="6"/>
  <c r="D265" i="6"/>
  <c r="B265" i="6"/>
  <c r="A267" i="6" l="1"/>
  <c r="E266" i="6"/>
  <c r="D266" i="6"/>
  <c r="C266" i="6"/>
  <c r="B266" i="6"/>
  <c r="A268" i="6" l="1"/>
  <c r="D267" i="6"/>
  <c r="E267" i="6"/>
  <c r="C267" i="6"/>
  <c r="B267" i="6"/>
  <c r="A269" i="6" l="1"/>
  <c r="C268" i="6"/>
  <c r="E268" i="6"/>
  <c r="D268" i="6"/>
  <c r="B268" i="6"/>
  <c r="A270" i="6" l="1"/>
  <c r="E269" i="6"/>
  <c r="D269" i="6"/>
  <c r="C269" i="6"/>
  <c r="B269" i="6"/>
  <c r="A271" i="6" l="1"/>
  <c r="E270" i="6"/>
  <c r="D270" i="6"/>
  <c r="C270" i="6"/>
  <c r="B270" i="6"/>
  <c r="A272" i="6" l="1"/>
  <c r="E271" i="6"/>
  <c r="D271" i="6"/>
  <c r="C271" i="6"/>
  <c r="B271" i="6"/>
  <c r="A273" i="6" l="1"/>
  <c r="E272" i="6"/>
  <c r="C272" i="6"/>
  <c r="D272" i="6"/>
  <c r="B272" i="6"/>
  <c r="A274" i="6" l="1"/>
  <c r="E273" i="6"/>
  <c r="C273" i="6"/>
  <c r="D273" i="6"/>
  <c r="B273" i="6"/>
  <c r="A275" i="6" l="1"/>
  <c r="E274" i="6"/>
  <c r="D274" i="6"/>
  <c r="C274" i="6"/>
  <c r="B274" i="6"/>
  <c r="A276" i="6" l="1"/>
  <c r="D275" i="6"/>
  <c r="E275" i="6"/>
  <c r="C275" i="6"/>
  <c r="B275" i="6"/>
  <c r="A277" i="6" l="1"/>
  <c r="C276" i="6"/>
  <c r="E276" i="6"/>
  <c r="D276" i="6"/>
  <c r="B276" i="6"/>
  <c r="A278" i="6" l="1"/>
  <c r="E277" i="6"/>
  <c r="D277" i="6"/>
  <c r="C277" i="6"/>
  <c r="B277" i="6"/>
  <c r="A279" i="6" l="1"/>
  <c r="E278" i="6"/>
  <c r="D278" i="6"/>
  <c r="C278" i="6"/>
  <c r="B278" i="6"/>
  <c r="A280" i="6" l="1"/>
  <c r="E279" i="6"/>
  <c r="D279" i="6"/>
  <c r="C279" i="6"/>
  <c r="B279" i="6"/>
  <c r="A281" i="6" l="1"/>
  <c r="E280" i="6"/>
  <c r="C280" i="6"/>
  <c r="D280" i="6"/>
  <c r="B280" i="6"/>
  <c r="A282" i="6" l="1"/>
  <c r="E281" i="6"/>
  <c r="C281" i="6"/>
  <c r="D281" i="6"/>
  <c r="B281" i="6"/>
  <c r="A283" i="6" l="1"/>
  <c r="E282" i="6"/>
  <c r="D282" i="6"/>
  <c r="C282" i="6"/>
  <c r="B282" i="6"/>
  <c r="A284" i="6" l="1"/>
  <c r="D283" i="6"/>
  <c r="E283" i="6"/>
  <c r="C283" i="6"/>
  <c r="B283" i="6"/>
  <c r="A285" i="6" l="1"/>
  <c r="C284" i="6"/>
  <c r="E284" i="6"/>
  <c r="D284" i="6"/>
  <c r="B284" i="6"/>
  <c r="A286" i="6" l="1"/>
  <c r="E285" i="6"/>
  <c r="D285" i="6"/>
  <c r="C285" i="6"/>
  <c r="B285" i="6"/>
  <c r="A287" i="6" l="1"/>
  <c r="E286" i="6"/>
  <c r="D286" i="6"/>
  <c r="C286" i="6"/>
  <c r="B286" i="6"/>
  <c r="A288" i="6" l="1"/>
  <c r="E287" i="6"/>
  <c r="D287" i="6"/>
  <c r="C287" i="6"/>
  <c r="B287" i="6"/>
  <c r="A289" i="6" l="1"/>
  <c r="E288" i="6"/>
  <c r="C288" i="6"/>
  <c r="D288" i="6"/>
  <c r="B288" i="6"/>
  <c r="A290" i="6" l="1"/>
  <c r="E289" i="6"/>
  <c r="C289" i="6"/>
  <c r="D289" i="6"/>
  <c r="B289" i="6"/>
  <c r="A291" i="6" l="1"/>
  <c r="E290" i="6"/>
  <c r="D290" i="6"/>
  <c r="C290" i="6"/>
  <c r="B290" i="6"/>
  <c r="A292" i="6" l="1"/>
  <c r="D291" i="6"/>
  <c r="C291" i="6"/>
  <c r="E291" i="6"/>
  <c r="B291" i="6"/>
  <c r="A293" i="6" l="1"/>
  <c r="C292" i="6"/>
  <c r="D292" i="6"/>
  <c r="E292" i="6"/>
  <c r="B292" i="6"/>
  <c r="A294" i="6" l="1"/>
  <c r="E293" i="6"/>
  <c r="D293" i="6"/>
  <c r="C293" i="6"/>
  <c r="B293" i="6"/>
  <c r="A295" i="6" l="1"/>
  <c r="E294" i="6"/>
  <c r="D294" i="6"/>
  <c r="C294" i="6"/>
  <c r="B294" i="6"/>
  <c r="A296" i="6" l="1"/>
  <c r="E295" i="6"/>
  <c r="D295" i="6"/>
  <c r="B295" i="6"/>
  <c r="C295" i="6"/>
  <c r="A297" i="6" l="1"/>
  <c r="E296" i="6"/>
  <c r="C296" i="6"/>
  <c r="D296" i="6"/>
  <c r="B296" i="6"/>
  <c r="A298" i="6" l="1"/>
  <c r="E297" i="6"/>
  <c r="C297" i="6"/>
  <c r="D297" i="6"/>
  <c r="B297" i="6"/>
  <c r="A299" i="6" l="1"/>
  <c r="E298" i="6"/>
  <c r="D298" i="6"/>
  <c r="C298" i="6"/>
  <c r="B298" i="6"/>
  <c r="A300" i="6" l="1"/>
  <c r="D299" i="6"/>
  <c r="E299" i="6"/>
  <c r="C299" i="6"/>
  <c r="B299" i="6"/>
  <c r="A301" i="6" l="1"/>
  <c r="C300" i="6"/>
  <c r="E300" i="6"/>
  <c r="D300" i="6"/>
  <c r="B300" i="6"/>
  <c r="A302" i="6" l="1"/>
  <c r="E301" i="6"/>
  <c r="D301" i="6"/>
  <c r="C301" i="6"/>
  <c r="B301" i="6"/>
  <c r="A303" i="6" l="1"/>
  <c r="E302" i="6"/>
  <c r="D302" i="6"/>
  <c r="C302" i="6"/>
  <c r="B302" i="6"/>
  <c r="A304" i="6" l="1"/>
  <c r="E303" i="6"/>
  <c r="D303" i="6"/>
  <c r="C303" i="6"/>
  <c r="B303" i="6"/>
  <c r="A305" i="6" l="1"/>
  <c r="E304" i="6"/>
  <c r="C304" i="6"/>
  <c r="D304" i="6"/>
  <c r="B304" i="6"/>
  <c r="A306" i="6" l="1"/>
  <c r="E305" i="6"/>
  <c r="C305" i="6"/>
  <c r="D305" i="6"/>
  <c r="B305" i="6"/>
  <c r="A307" i="6" l="1"/>
  <c r="E306" i="6"/>
  <c r="D306" i="6"/>
  <c r="C306" i="6"/>
  <c r="B306" i="6"/>
  <c r="A308" i="6" l="1"/>
  <c r="D307" i="6"/>
  <c r="E307" i="6"/>
  <c r="C307" i="6"/>
  <c r="B307" i="6"/>
  <c r="A309" i="6" l="1"/>
  <c r="C308" i="6"/>
  <c r="E308" i="6"/>
  <c r="D308" i="6"/>
  <c r="B308" i="6"/>
  <c r="A310" i="6" l="1"/>
  <c r="E309" i="6"/>
  <c r="D309" i="6"/>
  <c r="C309" i="6"/>
  <c r="B309" i="6"/>
  <c r="A311" i="6" l="1"/>
  <c r="E310" i="6"/>
  <c r="D310" i="6"/>
  <c r="C310" i="6"/>
  <c r="B310" i="6"/>
  <c r="A312" i="6" l="1"/>
  <c r="E311" i="6"/>
  <c r="D311" i="6"/>
  <c r="C311" i="6"/>
  <c r="B311" i="6"/>
  <c r="A313" i="6" l="1"/>
  <c r="E312" i="6"/>
  <c r="D312" i="6"/>
  <c r="C312" i="6"/>
  <c r="B312" i="6"/>
  <c r="A314" i="6" l="1"/>
  <c r="E313" i="6"/>
  <c r="C313" i="6"/>
  <c r="D313" i="6"/>
  <c r="B313" i="6"/>
  <c r="A315" i="6" l="1"/>
  <c r="E314" i="6"/>
  <c r="D314" i="6"/>
  <c r="C314" i="6"/>
  <c r="B314" i="6"/>
  <c r="A316" i="6" l="1"/>
  <c r="D315" i="6"/>
  <c r="E315" i="6"/>
  <c r="C315" i="6"/>
  <c r="B315" i="6"/>
  <c r="A317" i="6" l="1"/>
  <c r="E316" i="6"/>
  <c r="D316" i="6"/>
  <c r="C316" i="6"/>
  <c r="B316" i="6"/>
  <c r="A318" i="6" l="1"/>
  <c r="E317" i="6"/>
  <c r="D317" i="6"/>
  <c r="C317" i="6"/>
  <c r="B317" i="6"/>
  <c r="A319" i="6" l="1"/>
  <c r="E318" i="6"/>
  <c r="D318" i="6"/>
  <c r="C318" i="6"/>
  <c r="B318" i="6"/>
  <c r="A320" i="6" l="1"/>
  <c r="E319" i="6"/>
  <c r="D319" i="6"/>
  <c r="C319" i="6"/>
  <c r="B319" i="6"/>
  <c r="A321" i="6" l="1"/>
  <c r="E320" i="6"/>
  <c r="D320" i="6"/>
  <c r="C320" i="6"/>
  <c r="B320" i="6"/>
  <c r="A322" i="6" l="1"/>
  <c r="E321" i="6"/>
  <c r="D321" i="6"/>
  <c r="B321" i="6"/>
  <c r="C321" i="6"/>
  <c r="A323" i="6" l="1"/>
  <c r="E322" i="6"/>
  <c r="D322" i="6"/>
  <c r="C322" i="6"/>
  <c r="B322" i="6"/>
  <c r="A324" i="6" l="1"/>
  <c r="D323" i="6"/>
  <c r="C323" i="6"/>
  <c r="E323" i="6"/>
  <c r="B323" i="6"/>
  <c r="A325" i="6" l="1"/>
  <c r="E324" i="6"/>
  <c r="D324" i="6"/>
  <c r="C324" i="6"/>
  <c r="B324" i="6"/>
  <c r="A326" i="6" l="1"/>
  <c r="E325" i="6"/>
  <c r="D325" i="6"/>
  <c r="B325" i="6"/>
  <c r="C325" i="6"/>
  <c r="A327" i="6" l="1"/>
  <c r="E326" i="6"/>
  <c r="D326" i="6"/>
  <c r="C326" i="6"/>
  <c r="B326" i="6"/>
  <c r="A328" i="6" l="1"/>
  <c r="E327" i="6"/>
  <c r="D327" i="6"/>
  <c r="C327" i="6"/>
  <c r="B327" i="6"/>
  <c r="A329" i="6" l="1"/>
  <c r="E328" i="6"/>
  <c r="D328" i="6"/>
  <c r="C328" i="6"/>
  <c r="B328" i="6"/>
  <c r="A330" i="6" l="1"/>
  <c r="E329" i="6"/>
  <c r="D329" i="6"/>
  <c r="B329" i="6"/>
  <c r="C329" i="6"/>
  <c r="A331" i="6" l="1"/>
  <c r="E330" i="6"/>
  <c r="D330" i="6"/>
  <c r="C330" i="6"/>
  <c r="B330" i="6"/>
  <c r="A332" i="6" l="1"/>
  <c r="D331" i="6"/>
  <c r="E331" i="6"/>
  <c r="C331" i="6"/>
  <c r="B331" i="6"/>
  <c r="A333" i="6" l="1"/>
  <c r="E332" i="6"/>
  <c r="D332" i="6"/>
  <c r="C332" i="6"/>
  <c r="B332" i="6"/>
  <c r="A334" i="6" l="1"/>
  <c r="E333" i="6"/>
  <c r="D333" i="6"/>
  <c r="B333" i="6"/>
  <c r="C333" i="6"/>
  <c r="A335" i="6" l="1"/>
  <c r="E334" i="6"/>
  <c r="D334" i="6"/>
  <c r="C334" i="6"/>
  <c r="B334" i="6"/>
  <c r="A336" i="6" l="1"/>
  <c r="E335" i="6"/>
  <c r="D335" i="6"/>
  <c r="C335" i="6"/>
  <c r="B335" i="6"/>
  <c r="A337" i="6" l="1"/>
  <c r="E336" i="6"/>
  <c r="D336" i="6"/>
  <c r="C336" i="6"/>
  <c r="B336" i="6"/>
  <c r="A338" i="6" l="1"/>
  <c r="E337" i="6"/>
  <c r="D337" i="6"/>
  <c r="B337" i="6"/>
  <c r="C337" i="6"/>
  <c r="A339" i="6" l="1"/>
  <c r="E338" i="6"/>
  <c r="D338" i="6"/>
  <c r="C338" i="6"/>
  <c r="B338" i="6"/>
  <c r="A340" i="6" l="1"/>
  <c r="D339" i="6"/>
  <c r="E339" i="6"/>
  <c r="C339" i="6"/>
  <c r="B339" i="6"/>
  <c r="A341" i="6" l="1"/>
  <c r="E340" i="6"/>
  <c r="D340" i="6"/>
  <c r="C340" i="6"/>
  <c r="B340" i="6"/>
  <c r="A342" i="6" l="1"/>
  <c r="E341" i="6"/>
  <c r="D341" i="6"/>
  <c r="B341" i="6"/>
  <c r="C341" i="6"/>
  <c r="A343" i="6" l="1"/>
  <c r="E342" i="6"/>
  <c r="D342" i="6"/>
  <c r="C342" i="6"/>
  <c r="B342" i="6"/>
  <c r="A344" i="6" l="1"/>
  <c r="E343" i="6"/>
  <c r="D343" i="6"/>
  <c r="C343" i="6"/>
  <c r="B343" i="6"/>
  <c r="A345" i="6" l="1"/>
  <c r="E344" i="6"/>
  <c r="D344" i="6"/>
  <c r="C344" i="6"/>
  <c r="B344" i="6"/>
  <c r="A346" i="6" l="1"/>
  <c r="E345" i="6"/>
  <c r="D345" i="6"/>
  <c r="B345" i="6"/>
  <c r="C345" i="6"/>
  <c r="A347" i="6" l="1"/>
  <c r="D346" i="6"/>
  <c r="E346" i="6"/>
  <c r="C346" i="6"/>
  <c r="B346" i="6"/>
  <c r="A348" i="6" l="1"/>
  <c r="E347" i="6"/>
  <c r="D347" i="6"/>
  <c r="C347" i="6"/>
  <c r="B347" i="6"/>
  <c r="A349" i="6" l="1"/>
  <c r="E348" i="6"/>
  <c r="D348" i="6"/>
  <c r="C348" i="6"/>
  <c r="B348" i="6"/>
  <c r="A350" i="6" l="1"/>
  <c r="D349" i="6"/>
  <c r="E349" i="6"/>
  <c r="B349" i="6"/>
  <c r="C349" i="6"/>
  <c r="A351" i="6" l="1"/>
  <c r="D350" i="6"/>
  <c r="C350" i="6"/>
  <c r="E350" i="6"/>
  <c r="B350" i="6"/>
  <c r="A352" i="6" l="1"/>
  <c r="E351" i="6"/>
  <c r="D351" i="6"/>
  <c r="C351" i="6"/>
  <c r="B351" i="6"/>
  <c r="A353" i="6" l="1"/>
  <c r="E352" i="6"/>
  <c r="D352" i="6"/>
  <c r="C352" i="6"/>
  <c r="B352" i="6"/>
  <c r="A354" i="6" l="1"/>
  <c r="E353" i="6"/>
  <c r="D353" i="6"/>
  <c r="B353" i="6"/>
  <c r="C353" i="6"/>
  <c r="A355" i="6" l="1"/>
  <c r="D354" i="6"/>
  <c r="E354" i="6"/>
  <c r="C354" i="6"/>
  <c r="B354" i="6"/>
  <c r="A356" i="6" l="1"/>
  <c r="E355" i="6"/>
  <c r="D355" i="6"/>
  <c r="C355" i="6"/>
  <c r="B355" i="6"/>
  <c r="A357" i="6" l="1"/>
  <c r="E356" i="6"/>
  <c r="D356" i="6"/>
  <c r="C356" i="6"/>
  <c r="B356" i="6"/>
  <c r="A358" i="6" l="1"/>
  <c r="D357" i="6"/>
  <c r="E357" i="6"/>
  <c r="B357" i="6"/>
  <c r="C357" i="6"/>
  <c r="A359" i="6" l="1"/>
  <c r="D358" i="6"/>
  <c r="C358" i="6"/>
  <c r="E358" i="6"/>
  <c r="B358" i="6"/>
  <c r="A360" i="6" l="1"/>
  <c r="E359" i="6"/>
  <c r="D359" i="6"/>
  <c r="C359" i="6"/>
  <c r="B359" i="6"/>
  <c r="A361" i="6" l="1"/>
  <c r="E360" i="6"/>
  <c r="D360" i="6"/>
  <c r="C360" i="6"/>
  <c r="B360" i="6"/>
  <c r="A362" i="6" l="1"/>
  <c r="E361" i="6"/>
  <c r="D361" i="6"/>
  <c r="B361" i="6"/>
  <c r="C361" i="6"/>
  <c r="A363" i="6" l="1"/>
  <c r="D362" i="6"/>
  <c r="E362" i="6"/>
  <c r="C362" i="6"/>
  <c r="B362" i="6"/>
  <c r="A364" i="6" l="1"/>
  <c r="E363" i="6"/>
  <c r="D363" i="6"/>
  <c r="C363" i="6"/>
  <c r="B363" i="6"/>
  <c r="A365" i="6" l="1"/>
  <c r="E364" i="6"/>
  <c r="D364" i="6"/>
  <c r="C364" i="6"/>
  <c r="B364" i="6"/>
  <c r="A366" i="6" l="1"/>
  <c r="D365" i="6"/>
  <c r="E365" i="6"/>
  <c r="B365" i="6"/>
  <c r="C365" i="6"/>
  <c r="A367" i="6" l="1"/>
  <c r="D366" i="6"/>
  <c r="C366" i="6"/>
  <c r="B366" i="6"/>
  <c r="E366" i="6"/>
  <c r="A368" i="6" l="1"/>
  <c r="E367" i="6"/>
  <c r="D367" i="6"/>
  <c r="C367" i="6"/>
  <c r="B367" i="6"/>
  <c r="A369" i="6" l="1"/>
  <c r="E368" i="6"/>
  <c r="D368" i="6"/>
  <c r="C368" i="6"/>
  <c r="B368" i="6"/>
  <c r="A370" i="6" l="1"/>
  <c r="E369" i="6"/>
  <c r="D369" i="6"/>
  <c r="B369" i="6"/>
  <c r="C369" i="6"/>
  <c r="A371" i="6" l="1"/>
  <c r="D370" i="6"/>
  <c r="E370" i="6"/>
  <c r="B370" i="6"/>
  <c r="C370" i="6"/>
  <c r="A372" i="6" l="1"/>
  <c r="E371" i="6"/>
  <c r="D371" i="6"/>
  <c r="C371" i="6"/>
  <c r="B371" i="6"/>
  <c r="A373" i="6" l="1"/>
  <c r="E372" i="6"/>
  <c r="D372" i="6"/>
  <c r="C372" i="6"/>
  <c r="B372" i="6"/>
  <c r="A374" i="6" l="1"/>
  <c r="D373" i="6"/>
  <c r="E373" i="6"/>
  <c r="C373" i="6"/>
  <c r="B373" i="6"/>
  <c r="A375" i="6" l="1"/>
  <c r="D374" i="6"/>
  <c r="E374" i="6"/>
  <c r="C374" i="6"/>
  <c r="B374" i="6"/>
  <c r="A376" i="6" l="1"/>
  <c r="E375" i="6"/>
  <c r="D375" i="6"/>
  <c r="C375" i="6"/>
  <c r="B375" i="6"/>
  <c r="A377" i="6" l="1"/>
  <c r="E376" i="6"/>
  <c r="D376" i="6"/>
  <c r="C376" i="6"/>
  <c r="B376" i="6"/>
  <c r="A378" i="6" l="1"/>
  <c r="E377" i="6"/>
  <c r="D377" i="6"/>
  <c r="B377" i="6"/>
  <c r="C377" i="6"/>
  <c r="A379" i="6" l="1"/>
  <c r="D378" i="6"/>
  <c r="E378" i="6"/>
  <c r="C378" i="6"/>
  <c r="B378" i="6"/>
  <c r="A380" i="6" l="1"/>
  <c r="E379" i="6"/>
  <c r="D379" i="6"/>
  <c r="C379" i="6"/>
  <c r="B379" i="6"/>
  <c r="A381" i="6" l="1"/>
  <c r="E380" i="6"/>
  <c r="D380" i="6"/>
  <c r="C380" i="6"/>
  <c r="B380" i="6"/>
  <c r="A382" i="6" l="1"/>
  <c r="D381" i="6"/>
  <c r="E381" i="6"/>
  <c r="B381" i="6"/>
  <c r="C381" i="6"/>
  <c r="A383" i="6" l="1"/>
  <c r="D382" i="6"/>
  <c r="B382" i="6"/>
  <c r="E382" i="6"/>
  <c r="C382" i="6"/>
  <c r="A384" i="6" l="1"/>
  <c r="E383" i="6"/>
  <c r="D383" i="6"/>
  <c r="C383" i="6"/>
  <c r="B383" i="6"/>
  <c r="A385" i="6" l="1"/>
  <c r="E384" i="6"/>
  <c r="D384" i="6"/>
  <c r="C384" i="6"/>
  <c r="B384" i="6"/>
  <c r="A386" i="6" l="1"/>
  <c r="E385" i="6"/>
  <c r="D385" i="6"/>
  <c r="B385" i="6"/>
  <c r="C385" i="6"/>
  <c r="A387" i="6" l="1"/>
  <c r="D386" i="6"/>
  <c r="E386" i="6"/>
  <c r="B386" i="6"/>
  <c r="C386" i="6"/>
  <c r="A388" i="6" l="1"/>
  <c r="E387" i="6"/>
  <c r="D387" i="6"/>
  <c r="C387" i="6"/>
  <c r="B387" i="6"/>
  <c r="A389" i="6" l="1"/>
  <c r="E388" i="6"/>
  <c r="D388" i="6"/>
  <c r="C388" i="6"/>
  <c r="B388" i="6"/>
  <c r="A390" i="6" l="1"/>
  <c r="D389" i="6"/>
  <c r="E389" i="6"/>
  <c r="C389" i="6"/>
  <c r="B389" i="6"/>
  <c r="A391" i="6" l="1"/>
  <c r="D390" i="6"/>
  <c r="E390" i="6"/>
  <c r="C390" i="6"/>
  <c r="B390" i="6"/>
  <c r="A392" i="6" l="1"/>
  <c r="E391" i="6"/>
  <c r="D391" i="6"/>
  <c r="C391" i="6"/>
  <c r="B391" i="6"/>
  <c r="A393" i="6" l="1"/>
  <c r="E392" i="6"/>
  <c r="D392" i="6"/>
  <c r="C392" i="6"/>
  <c r="B392" i="6"/>
  <c r="A394" i="6" l="1"/>
  <c r="E393" i="6"/>
  <c r="D393" i="6"/>
  <c r="B393" i="6"/>
  <c r="C393" i="6"/>
  <c r="A395" i="6" l="1"/>
  <c r="D394" i="6"/>
  <c r="E394" i="6"/>
  <c r="C394" i="6"/>
  <c r="B394" i="6"/>
  <c r="A396" i="6" l="1"/>
  <c r="E395" i="6"/>
  <c r="D395" i="6"/>
  <c r="C395" i="6"/>
  <c r="B395" i="6"/>
  <c r="A397" i="6" l="1"/>
  <c r="E396" i="6"/>
  <c r="D396" i="6"/>
  <c r="C396" i="6"/>
  <c r="B396" i="6"/>
  <c r="A398" i="6" l="1"/>
  <c r="D397" i="6"/>
  <c r="E397" i="6"/>
  <c r="B397" i="6"/>
  <c r="C397" i="6"/>
  <c r="A399" i="6" l="1"/>
  <c r="D398" i="6"/>
  <c r="E398" i="6"/>
  <c r="B398" i="6"/>
  <c r="C398" i="6"/>
  <c r="A400" i="6" l="1"/>
  <c r="E399" i="6"/>
  <c r="D399" i="6"/>
  <c r="C399" i="6"/>
  <c r="B399" i="6"/>
  <c r="A401" i="6" l="1"/>
  <c r="E400" i="6"/>
  <c r="D400" i="6"/>
  <c r="C400" i="6"/>
  <c r="B400" i="6"/>
  <c r="A402" i="6" l="1"/>
  <c r="E401" i="6"/>
  <c r="D401" i="6"/>
  <c r="B401" i="6"/>
  <c r="C401" i="6"/>
  <c r="A403" i="6" l="1"/>
  <c r="D402" i="6"/>
  <c r="E402" i="6"/>
  <c r="B402" i="6"/>
  <c r="C402" i="6"/>
  <c r="A404" i="6" l="1"/>
  <c r="E403" i="6"/>
  <c r="D403" i="6"/>
  <c r="C403" i="6"/>
  <c r="B403" i="6"/>
  <c r="A405" i="6" l="1"/>
  <c r="E404" i="6"/>
  <c r="C404" i="6"/>
  <c r="D404" i="6"/>
  <c r="B404" i="6"/>
  <c r="A406" i="6" l="1"/>
  <c r="D405" i="6"/>
  <c r="E405" i="6"/>
  <c r="C405" i="6"/>
  <c r="B405" i="6"/>
  <c r="A407" i="6" l="1"/>
  <c r="D406" i="6"/>
  <c r="E406" i="6"/>
  <c r="C406" i="6"/>
  <c r="B406" i="6"/>
  <c r="A408" i="6" l="1"/>
  <c r="E407" i="6"/>
  <c r="D407" i="6"/>
  <c r="C407" i="6"/>
  <c r="B407" i="6"/>
  <c r="A409" i="6" l="1"/>
  <c r="E408" i="6"/>
  <c r="D408" i="6"/>
  <c r="C408" i="6"/>
  <c r="B408" i="6"/>
  <c r="A410" i="6" l="1"/>
  <c r="E409" i="6"/>
  <c r="D409" i="6"/>
  <c r="B409" i="6"/>
  <c r="C409" i="6"/>
  <c r="A411" i="6" l="1"/>
  <c r="D410" i="6"/>
  <c r="E410" i="6"/>
  <c r="C410" i="6"/>
  <c r="B410" i="6"/>
  <c r="A412" i="6" l="1"/>
  <c r="E411" i="6"/>
  <c r="D411" i="6"/>
  <c r="C411" i="6"/>
  <c r="B411" i="6"/>
  <c r="A413" i="6" l="1"/>
  <c r="E412" i="6"/>
  <c r="D412" i="6"/>
  <c r="C412" i="6"/>
  <c r="B412" i="6"/>
  <c r="A414" i="6" l="1"/>
  <c r="D413" i="6"/>
  <c r="E413" i="6"/>
  <c r="B413" i="6"/>
  <c r="C413" i="6"/>
  <c r="A415" i="6" l="1"/>
  <c r="D414" i="6"/>
  <c r="E414" i="6"/>
  <c r="B414" i="6"/>
  <c r="C414" i="6"/>
  <c r="A416" i="6" l="1"/>
  <c r="E415" i="6"/>
  <c r="C415" i="6"/>
  <c r="D415" i="6"/>
  <c r="B415" i="6"/>
  <c r="A417" i="6" l="1"/>
  <c r="E416" i="6"/>
  <c r="C416" i="6"/>
  <c r="D416" i="6"/>
  <c r="B416" i="6"/>
  <c r="A418" i="6" l="1"/>
  <c r="E417" i="6"/>
  <c r="D417" i="6"/>
  <c r="B417" i="6"/>
  <c r="C417" i="6"/>
  <c r="A419" i="6" l="1"/>
  <c r="E418" i="6"/>
  <c r="D418" i="6"/>
  <c r="B418" i="6"/>
  <c r="C418" i="6"/>
  <c r="A420" i="6" l="1"/>
  <c r="E419" i="6"/>
  <c r="D419" i="6"/>
  <c r="C419" i="6"/>
  <c r="B419" i="6"/>
  <c r="A421" i="6" l="1"/>
  <c r="E420" i="6"/>
  <c r="D420" i="6"/>
  <c r="C420" i="6"/>
  <c r="B420" i="6"/>
  <c r="A422" i="6" l="1"/>
  <c r="D421" i="6"/>
  <c r="E421" i="6"/>
  <c r="C421" i="6"/>
  <c r="B421" i="6"/>
  <c r="A423" i="6" l="1"/>
  <c r="D422" i="6"/>
  <c r="E422" i="6"/>
  <c r="B422" i="6"/>
  <c r="C422" i="6"/>
  <c r="A424" i="6" l="1"/>
  <c r="E423" i="6"/>
  <c r="C423" i="6"/>
  <c r="D423" i="6"/>
  <c r="B423" i="6"/>
  <c r="A425" i="6" l="1"/>
  <c r="E424" i="6"/>
  <c r="D424" i="6"/>
  <c r="C424" i="6"/>
  <c r="B424" i="6"/>
  <c r="A426" i="6" l="1"/>
  <c r="E425" i="6"/>
  <c r="D425" i="6"/>
  <c r="B425" i="6"/>
  <c r="C425" i="6"/>
  <c r="A427" i="6" l="1"/>
  <c r="E426" i="6"/>
  <c r="D426" i="6"/>
  <c r="C426" i="6"/>
  <c r="B426" i="6"/>
  <c r="A428" i="6" l="1"/>
  <c r="E427" i="6"/>
  <c r="D427" i="6"/>
  <c r="C427" i="6"/>
  <c r="B427" i="6"/>
  <c r="A429" i="6" l="1"/>
  <c r="E428" i="6"/>
  <c r="D428" i="6"/>
  <c r="C428" i="6"/>
  <c r="B428" i="6"/>
  <c r="A430" i="6" l="1"/>
  <c r="D429" i="6"/>
  <c r="E429" i="6"/>
  <c r="B429" i="6"/>
  <c r="C429" i="6"/>
  <c r="A431" i="6" l="1"/>
  <c r="D430" i="6"/>
  <c r="C430" i="6"/>
  <c r="B430" i="6"/>
  <c r="E430" i="6"/>
  <c r="A432" i="6" l="1"/>
  <c r="E431" i="6"/>
  <c r="C431" i="6"/>
  <c r="D431" i="6"/>
  <c r="B431" i="6"/>
  <c r="A433" i="6" l="1"/>
  <c r="E432" i="6"/>
  <c r="D432" i="6"/>
  <c r="C432" i="6"/>
  <c r="B432" i="6"/>
  <c r="A434" i="6" l="1"/>
  <c r="E433" i="6"/>
  <c r="D433" i="6"/>
  <c r="B433" i="6"/>
  <c r="C433" i="6"/>
  <c r="A435" i="6" l="1"/>
  <c r="E434" i="6"/>
  <c r="D434" i="6"/>
  <c r="B434" i="6"/>
  <c r="C434" i="6"/>
  <c r="A436" i="6" l="1"/>
  <c r="E435" i="6"/>
  <c r="D435" i="6"/>
  <c r="C435" i="6"/>
  <c r="B435" i="6"/>
  <c r="A437" i="6" l="1"/>
  <c r="E436" i="6"/>
  <c r="D436" i="6"/>
  <c r="C436" i="6"/>
  <c r="B436" i="6"/>
  <c r="A438" i="6" l="1"/>
  <c r="D437" i="6"/>
  <c r="E437" i="6"/>
  <c r="C437" i="6"/>
  <c r="B437" i="6"/>
  <c r="A439" i="6" l="1"/>
  <c r="D438" i="6"/>
  <c r="E438" i="6"/>
  <c r="B438" i="6"/>
  <c r="C438" i="6"/>
  <c r="A440" i="6" l="1"/>
  <c r="E439" i="6"/>
  <c r="C439" i="6"/>
  <c r="D439" i="6"/>
  <c r="B439" i="6"/>
  <c r="A441" i="6" l="1"/>
  <c r="E440" i="6"/>
  <c r="D440" i="6"/>
  <c r="C440" i="6"/>
  <c r="B440" i="6"/>
  <c r="A442" i="6" l="1"/>
  <c r="E441" i="6"/>
  <c r="D441" i="6"/>
  <c r="B441" i="6"/>
  <c r="C441" i="6"/>
  <c r="E442" i="6" l="1"/>
  <c r="D442" i="6"/>
  <c r="C442" i="6"/>
  <c r="B442" i="6"/>
</calcChain>
</file>

<file path=xl/connections.xml><?xml version="1.0" encoding="utf-8"?>
<connections xmlns="http://schemas.openxmlformats.org/spreadsheetml/2006/main" xmlns:mc="http://schemas.openxmlformats.org/markup-compatibility/2006" xmlns:xr16="http://schemas.microsoft.com/office/spreadsheetml/2017/revision16" mc:Ignorable="xr16">
  <connection id="1" xr16:uid="{01E6C496-439D-49E6-95ED-229C868271C6}" keepAlive="1" name="ThisWorkbookDataModel" description="Data Model" type="5" refreshedVersion="8" minRefreshableVersion="5" background="1">
    <dbPr connection="Data Model Connection" command="Model" commandType="1"/>
    <olapPr sendLocale="1" rowDrillCount="1000"/>
    <extLst>
      <ext xmlns:x15="http://schemas.microsoft.com/office/spreadsheetml/2010/11/main" uri="{DE250136-89BD-433C-8126-D09CA5730AF9}">
        <x15:connection id="" model="1"/>
      </ext>
    </extLst>
  </connection>
  <connection id="2" xr16:uid="{618A42FD-D059-4FEE-A1B5-4D298A79B355}" name="WorksheetConnection_Business_Sales_Tracker.xlsx!Calender" type="102" refreshedVersion="8" minRefreshableVersion="5">
    <extLst>
      <ext xmlns:x15="http://schemas.microsoft.com/office/spreadsheetml/2010/11/main" uri="{DE250136-89BD-433C-8126-D09CA5730AF9}">
        <x15:connection id="Calender">
          <x15:rangePr sourceName="_xlcn.WorksheetConnection_Business_Sales_Tracker.xlsxCalender1"/>
        </x15:connection>
      </ext>
    </extLst>
  </connection>
  <connection id="3" xr16:uid="{441FD798-CF17-4023-B96F-9A1DA39DD482}" name="WorksheetConnection_Business_Sales_Tracker.xlsx!tblExpenses" type="102" refreshedVersion="8" minRefreshableVersion="5">
    <extLst>
      <ext xmlns:x15="http://schemas.microsoft.com/office/spreadsheetml/2010/11/main" uri="{DE250136-89BD-433C-8126-D09CA5730AF9}">
        <x15:connection id="tblExpenses" autoDelete="1">
          <x15:rangePr sourceName="_xlcn.WorksheetConnection_Business_Sales_Tracker.xlsxtblExpenses1"/>
        </x15:connection>
      </ext>
    </extLst>
  </connection>
  <connection id="4" xr16:uid="{4F06669A-0E8A-4762-9AEA-89C89CC95804}" name="WorksheetConnection_Business_Sales_Tracker.xlsx!tblInventory" type="102" refreshedVersion="8" minRefreshableVersion="5">
    <extLst>
      <ext xmlns:x15="http://schemas.microsoft.com/office/spreadsheetml/2010/11/main" uri="{DE250136-89BD-433C-8126-D09CA5730AF9}">
        <x15:connection id="tblInventory" autoDelete="1">
          <x15:rangePr sourceName="_xlcn.WorksheetConnection_Business_Sales_Tracker.xlsxtblInventory1"/>
        </x15:connection>
      </ext>
    </extLst>
  </connection>
  <connection id="5" xr16:uid="{63F81BEA-739D-4E9C-A796-5C53711E40BF}" name="WorksheetConnection_Business_Sales_Tracker.xlsx!tblSales" type="102" refreshedVersion="8" minRefreshableVersion="5">
    <extLst>
      <ext xmlns:x15="http://schemas.microsoft.com/office/spreadsheetml/2010/11/main" uri="{DE250136-89BD-433C-8126-D09CA5730AF9}">
        <x15:connection id="tblSales" autoDelete="1">
          <x15:rangePr sourceName="_xlcn.WorksheetConnection_Business_Sales_Tracker.xlsxtblSales1"/>
        </x15:connection>
      </ext>
    </extLst>
  </connection>
</connections>
</file>

<file path=xl/metadata.xml><?xml version="1.0" encoding="utf-8"?>
<metadata xmlns="http://schemas.openxmlformats.org/spreadsheetml/2006/main">
  <metadataTypes count="1">
    <metadataType name="XLMDX" minSupportedVersion="120000" copy="1" pasteAll="1" pasteValues="1" merge="1" splitFirst="1" rowColShift="1" clearFormats="1" clearComments="1" assign="1" coerce="1"/>
  </metadataTypes>
  <metadataStrings count="2">
    <s v="ThisWorkbookDataModel"/>
    <s v="{[tblInventory].[Stock Status].&amp;[Low Stock]}"/>
  </metadataStrings>
  <mdxMetadata count="1">
    <mdx n="0" f="s">
      <ms ns="1" c="0"/>
    </mdx>
  </mdxMetadata>
  <valueMetadata count="1">
    <bk>
      <rc t="1" v="0"/>
    </bk>
  </valueMetadata>
</metadata>
</file>

<file path=xl/sharedStrings.xml><?xml version="1.0" encoding="utf-8"?>
<sst xmlns="http://schemas.openxmlformats.org/spreadsheetml/2006/main" count="179" uniqueCount="98">
  <si>
    <t>Cash</t>
  </si>
  <si>
    <t>Seyi</t>
  </si>
  <si>
    <t>BREAD</t>
  </si>
  <si>
    <t>P008</t>
  </si>
  <si>
    <t>INV008</t>
  </si>
  <si>
    <t>Transfer</t>
  </si>
  <si>
    <t>Kemi</t>
  </si>
  <si>
    <t>Canned Soda</t>
  </si>
  <si>
    <t>P007</t>
  </si>
  <si>
    <t>INV007</t>
  </si>
  <si>
    <t>Mary</t>
  </si>
  <si>
    <t>Energy Drink</t>
  </si>
  <si>
    <t>P006</t>
  </si>
  <si>
    <t>INV006</t>
  </si>
  <si>
    <t>POS</t>
  </si>
  <si>
    <t>John</t>
  </si>
  <si>
    <t>Bottle Water</t>
  </si>
  <si>
    <t>P005</t>
  </si>
  <si>
    <t>INV005</t>
  </si>
  <si>
    <t>Bello</t>
  </si>
  <si>
    <t>P004</t>
  </si>
  <si>
    <t>INV004</t>
  </si>
  <si>
    <t>P003</t>
  </si>
  <si>
    <t>INV003</t>
  </si>
  <si>
    <t>P002</t>
  </si>
  <si>
    <t>INV002</t>
  </si>
  <si>
    <t>P001</t>
  </si>
  <si>
    <t>INV001</t>
  </si>
  <si>
    <t>Date</t>
  </si>
  <si>
    <t>InvoiceID</t>
  </si>
  <si>
    <t>ProductID</t>
  </si>
  <si>
    <t>ProductName</t>
  </si>
  <si>
    <t>QtySold</t>
  </si>
  <si>
    <t>UnitPrice</t>
  </si>
  <si>
    <t>Sales</t>
  </si>
  <si>
    <t>Cost</t>
  </si>
  <si>
    <t>Profit</t>
  </si>
  <si>
    <t>Customer</t>
  </si>
  <si>
    <t>PaymentMethod</t>
  </si>
  <si>
    <t>OutletID</t>
  </si>
  <si>
    <t>Category</t>
  </si>
  <si>
    <t>Amount</t>
  </si>
  <si>
    <t>Notes</t>
  </si>
  <si>
    <t>OUT001</t>
  </si>
  <si>
    <t>Transport</t>
  </si>
  <si>
    <t>Delivery fees</t>
  </si>
  <si>
    <t>OUT002</t>
  </si>
  <si>
    <t>Rent</t>
  </si>
  <si>
    <t>Monthly shop rent</t>
  </si>
  <si>
    <t>OUT003</t>
  </si>
  <si>
    <t>Electricity</t>
  </si>
  <si>
    <t>Generator fuel and power</t>
  </si>
  <si>
    <t>OUT004</t>
  </si>
  <si>
    <t>Transportation</t>
  </si>
  <si>
    <t>Market supply transport</t>
  </si>
  <si>
    <t>OUT005</t>
  </si>
  <si>
    <t>Staff Salary</t>
  </si>
  <si>
    <t>Sales assistant wages</t>
  </si>
  <si>
    <t>OUT006</t>
  </si>
  <si>
    <t>Internet</t>
  </si>
  <si>
    <t>POS and data subscription</t>
  </si>
  <si>
    <t>OUT007</t>
  </si>
  <si>
    <t>Maintenance</t>
  </si>
  <si>
    <t>Minor shop repairs</t>
  </si>
  <si>
    <t>OUT008</t>
  </si>
  <si>
    <t>Packaging</t>
  </si>
  <si>
    <t>Nylon bags and cartons</t>
  </si>
  <si>
    <t>StockIn</t>
  </si>
  <si>
    <t>StockOut</t>
  </si>
  <si>
    <t>StockBalance</t>
  </si>
  <si>
    <t>ReorderLevel</t>
  </si>
  <si>
    <r>
      <t>CostPer</t>
    </r>
    <r>
      <rPr>
        <sz val="11"/>
        <color theme="1"/>
        <rFont val="Aptos Narrow"/>
        <family val="2"/>
        <scheme val="minor"/>
      </rPr>
      <t>Product</t>
    </r>
  </si>
  <si>
    <t>INV009</t>
  </si>
  <si>
    <t>P009</t>
  </si>
  <si>
    <t>Stock Status</t>
  </si>
  <si>
    <t>Row Labels</t>
  </si>
  <si>
    <t>Grand Total</t>
  </si>
  <si>
    <t>Sum of Sales</t>
  </si>
  <si>
    <t>INV010</t>
  </si>
  <si>
    <t>P010</t>
  </si>
  <si>
    <t>Sum of Profit</t>
  </si>
  <si>
    <t>Sum of Amount</t>
  </si>
  <si>
    <t>(blank)</t>
  </si>
  <si>
    <t>Sum of StockBalance</t>
  </si>
  <si>
    <t>Year</t>
  </si>
  <si>
    <t>Month</t>
  </si>
  <si>
    <t>Month No</t>
  </si>
  <si>
    <t>Day</t>
  </si>
  <si>
    <t>INV011</t>
  </si>
  <si>
    <t>P011</t>
  </si>
  <si>
    <t>gafa</t>
  </si>
  <si>
    <t>Sum of ReorderLevel</t>
  </si>
  <si>
    <t>Low Stock</t>
  </si>
  <si>
    <t>Count of StockBalance</t>
  </si>
  <si>
    <t>Max of StockBalance</t>
  </si>
  <si>
    <t>Max of ReorderLevel</t>
  </si>
  <si>
    <t>Tope</t>
  </si>
  <si>
    <t>Mrs. Dupe</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</si>
</sst>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6">
    <numFmt numFmtId="44" formatCode="_(&quot;$&quot;* #,##0.00_);_(&quot;$&quot;* \(#,##0.00\);_(&quot;$&quot;* &quot;-&quot;??_);_(@_)"/>
    <numFmt numFmtId="43" formatCode="_(* #,##0.00_);_(* \(#,##0.00\);_(* &quot;-&quot;??_);_(@_)"/>
    <numFmt numFmtId="164" formatCode="_-[$₦-46A]* #,##0.00_-;\-[$₦-46A]* #,##0.00_-;_-[$₦-46A]* &quot;-&quot;??_-;_-@_-"/>
    <numFmt numFmtId="165" formatCode="[$-409]d\-mmm\-yyyy;@"/>
    <numFmt numFmtId="166" formatCode="_-[$₦-46A]* #,##0_-;\-[$₦-46A]* #,##0_-;_-[$₦-46A]* &quot;-&quot;??_-;_-@_-"/>
    <numFmt numFmtId="167" formatCode="_-[$₦-46A]* #,##0_-;\-[$₦-46A]* #,##0_-;_-[$₦-46A]* &quot;-&quot;_-;_-@_-"/>
  </numFmts>
  <fonts count="6" x14ac:knownFonts="1">
    <font>
      <sz val="11"/>
      <color theme="1"/>
      <name val="Aptos Narrow"/>
      <family val="2"/>
      <scheme val="minor"/>
    </font>
    <font>
      <sz val="11"/>
      <color theme="1"/>
      <name val="Aptos Narrow"/>
      <family val="2"/>
      <scheme val="minor"/>
    </font>
    <font>
      <b/>
      <sz val="11"/>
      <color theme="1"/>
      <name val="Aptos Narrow"/>
      <family val="2"/>
      <scheme val="minor"/>
    </font>
    <font>
      <sz val="8"/>
      <name val="Aptos Narrow"/>
      <family val="2"/>
      <scheme val="minor"/>
    </font>
    <font>
      <sz val="12"/>
      <color theme="1"/>
      <name val="Aptos Narrow"/>
      <family val="2"/>
      <scheme val="minor"/>
    </font>
    <font>
      <sz val="11"/>
      <color rgb="FFF2F2F0"/>
      <name val="Cambria Math"/>
      <family val="1"/>
    </font>
  </fonts>
  <fills count="4">
    <fill>
      <patternFill patternType="none"/>
    </fill>
    <fill>
      <patternFill patternType="gray125"/>
    </fill>
    <fill>
      <patternFill patternType="solid">
        <fgColor theme="6" tint="0.59999389629810485"/>
        <bgColor indexed="64"/>
      </patternFill>
    </fill>
    <fill>
      <patternFill patternType="solid">
        <fgColor rgb="FFF2F2F0"/>
        <bgColor indexed="64"/>
      </patternFill>
    </fill>
  </fills>
  <borders count="5">
    <border>
      <left/>
      <right/>
      <top/>
      <bottom/>
      <diagonal/>
    </border>
    <border>
      <left style="thin">
        <color auto="1"/>
      </left>
      <right style="thin">
        <color auto="1"/>
      </right>
      <top/>
      <bottom style="thin">
        <color auto="1"/>
      </bottom>
      <diagonal/>
    </border>
    <border>
      <left style="thin">
        <color auto="1"/>
      </left>
      <right/>
      <top/>
      <bottom style="thin">
        <color auto="1"/>
      </bottom>
      <diagonal/>
    </border>
    <border>
      <left/>
      <right style="thin">
        <color auto="1"/>
      </right>
      <top/>
      <bottom style="thin">
        <color auto="1"/>
      </bottom>
      <diagonal/>
    </border>
    <border>
      <left style="thin">
        <color auto="1"/>
      </left>
      <right style="thin">
        <color theme="0"/>
      </right>
      <top style="thin">
        <color theme="0"/>
      </top>
      <bottom style="thin">
        <color theme="0"/>
      </bottom>
      <diagonal/>
    </border>
  </borders>
  <cellStyleXfs count="3">
    <xf numFmtId="0" fontId="0" fillId="0" borderId="0"/>
    <xf numFmtId="43" fontId="1" fillId="0" borderId="0" applyFont="0" applyFill="0" applyBorder="0" applyAlignment="0" applyProtection="0"/>
    <xf numFmtId="44" fontId="1" fillId="0" borderId="0" applyFont="0" applyFill="0" applyBorder="0" applyAlignment="0" applyProtection="0"/>
  </cellStyleXfs>
  <cellXfs count="42">
    <xf numFmtId="0" fontId="0" fillId="0" borderId="0" xfId="0"/>
    <xf numFmtId="49" fontId="0" fillId="0" borderId="0" xfId="0" applyNumberFormat="1"/>
    <xf numFmtId="164" fontId="0" fillId="0" borderId="0" xfId="0" applyNumberFormat="1"/>
    <xf numFmtId="49" fontId="2" fillId="0" borderId="1" xfId="0" applyNumberFormat="1" applyFont="1" applyBorder="1" applyAlignment="1">
      <alignment horizontal="center" vertical="top"/>
    </xf>
    <xf numFmtId="164" fontId="2" fillId="2" borderId="1" xfId="0" applyNumberFormat="1" applyFont="1" applyFill="1" applyBorder="1" applyAlignment="1" applyProtection="1">
      <alignment horizontal="center" vertical="top"/>
    </xf>
    <xf numFmtId="0" fontId="0" fillId="0" borderId="0" xfId="0" applyProtection="1"/>
    <xf numFmtId="49" fontId="2" fillId="0" borderId="1" xfId="0" applyNumberFormat="1" applyFont="1" applyBorder="1" applyAlignment="1" applyProtection="1">
      <alignment horizontal="center" vertical="top"/>
      <protection locked="0"/>
    </xf>
    <xf numFmtId="164" fontId="2" fillId="0" borderId="1" xfId="0" applyNumberFormat="1" applyFont="1" applyBorder="1" applyAlignment="1" applyProtection="1">
      <alignment horizontal="center" vertical="top"/>
      <protection locked="0"/>
    </xf>
    <xf numFmtId="49" fontId="2" fillId="0" borderId="2" xfId="0" applyNumberFormat="1" applyFont="1" applyBorder="1" applyAlignment="1" applyProtection="1">
      <alignment horizontal="center" vertical="top"/>
      <protection locked="0"/>
    </xf>
    <xf numFmtId="49" fontId="0" fillId="0" borderId="0" xfId="0" applyNumberFormat="1" applyBorder="1" applyProtection="1">
      <protection locked="0"/>
    </xf>
    <xf numFmtId="164" fontId="0" fillId="0" borderId="0" xfId="0" applyNumberFormat="1" applyBorder="1" applyProtection="1">
      <protection locked="0"/>
    </xf>
    <xf numFmtId="164" fontId="0" fillId="2" borderId="0" xfId="0" applyNumberFormat="1" applyFill="1" applyBorder="1" applyProtection="1"/>
    <xf numFmtId="165" fontId="2" fillId="0" borderId="1" xfId="0" applyNumberFormat="1" applyFont="1" applyBorder="1" applyAlignment="1">
      <alignment horizontal="center" vertical="top"/>
    </xf>
    <xf numFmtId="165" fontId="0" fillId="0" borderId="0" xfId="0" applyNumberFormat="1"/>
    <xf numFmtId="165" fontId="2" fillId="0" borderId="3" xfId="0" applyNumberFormat="1" applyFont="1" applyBorder="1" applyAlignment="1" applyProtection="1">
      <alignment horizontal="center" vertical="top"/>
      <protection locked="0"/>
    </xf>
    <xf numFmtId="165" fontId="0" fillId="0" borderId="0" xfId="0" applyNumberFormat="1" applyBorder="1" applyProtection="1">
      <protection locked="0"/>
    </xf>
    <xf numFmtId="165" fontId="0" fillId="0" borderId="0" xfId="0" applyNumberFormat="1" applyBorder="1" applyAlignment="1" applyProtection="1">
      <alignment vertical="center" wrapText="1"/>
      <protection locked="0"/>
    </xf>
    <xf numFmtId="1" fontId="2" fillId="0" borderId="1" xfId="0" applyNumberFormat="1" applyFont="1" applyBorder="1" applyAlignment="1" applyProtection="1">
      <alignment horizontal="center" vertical="top"/>
      <protection locked="0"/>
    </xf>
    <xf numFmtId="1" fontId="0" fillId="0" borderId="0" xfId="0" applyNumberFormat="1" applyBorder="1" applyProtection="1">
      <protection locked="0"/>
    </xf>
    <xf numFmtId="1" fontId="0" fillId="0" borderId="0" xfId="0" applyNumberFormat="1"/>
    <xf numFmtId="1" fontId="2" fillId="0" borderId="1" xfId="0" applyNumberFormat="1" applyFont="1" applyBorder="1" applyAlignment="1">
      <alignment horizontal="center" vertical="top"/>
    </xf>
    <xf numFmtId="1" fontId="2" fillId="0" borderId="1" xfId="0" applyNumberFormat="1" applyFont="1" applyBorder="1" applyAlignment="1" applyProtection="1">
      <alignment horizontal="center" vertical="top"/>
    </xf>
    <xf numFmtId="1" fontId="0" fillId="0" borderId="0" xfId="0" applyNumberFormat="1" applyProtection="1"/>
    <xf numFmtId="1" fontId="2" fillId="0" borderId="1" xfId="1" applyNumberFormat="1" applyFont="1" applyBorder="1" applyAlignment="1">
      <alignment horizontal="center" vertical="top"/>
    </xf>
    <xf numFmtId="1" fontId="0" fillId="0" borderId="0" xfId="1" applyNumberFormat="1" applyFont="1"/>
    <xf numFmtId="0" fontId="0" fillId="3" borderId="0" xfId="0" applyFill="1"/>
    <xf numFmtId="0" fontId="0" fillId="3" borderId="0" xfId="0" applyFill="1" applyProtection="1"/>
    <xf numFmtId="166" fontId="0" fillId="3" borderId="0" xfId="0" applyNumberFormat="1" applyFill="1"/>
    <xf numFmtId="0" fontId="2" fillId="0" borderId="1" xfId="0" applyFont="1" applyBorder="1" applyAlignment="1">
      <alignment horizontal="center" vertical="top"/>
    </xf>
    <xf numFmtId="167" fontId="0" fillId="3" borderId="0" xfId="0" applyNumberFormat="1" applyFill="1"/>
    <xf numFmtId="1" fontId="0" fillId="3" borderId="0" xfId="0" applyNumberFormat="1" applyFill="1"/>
    <xf numFmtId="0" fontId="4" fillId="3" borderId="0" xfId="0" applyFont="1" applyFill="1"/>
    <xf numFmtId="0" fontId="0" fillId="0" borderId="0" xfId="0" pivotButton="1"/>
    <xf numFmtId="0" fontId="0" fillId="0" borderId="0" xfId="0" applyNumberFormat="1"/>
    <xf numFmtId="0" fontId="0" fillId="0" borderId="0" xfId="0" applyAlignment="1">
      <alignment horizontal="left"/>
    </xf>
    <xf numFmtId="165" fontId="0" fillId="0" borderId="4" xfId="0" applyNumberFormat="1" applyFont="1" applyFill="1" applyBorder="1"/>
    <xf numFmtId="0" fontId="0" fillId="0" borderId="0" xfId="0" applyFill="1"/>
    <xf numFmtId="167" fontId="0" fillId="0" borderId="0" xfId="0" applyNumberFormat="1"/>
    <xf numFmtId="0" fontId="5" fillId="3" borderId="0" xfId="0" applyFont="1" applyFill="1" applyProtection="1"/>
    <xf numFmtId="167" fontId="0" fillId="3" borderId="0" xfId="2" applyNumberFormat="1" applyFont="1" applyFill="1"/>
    <xf numFmtId="14" fontId="0" fillId="0" borderId="0" xfId="0" applyNumberFormat="1" applyAlignment="1">
      <alignment horizontal="left"/>
    </xf>
    <xf numFmtId="10" fontId="0" fillId="0" borderId="0" xfId="0" applyNumberFormat="1"/>
  </cellXfs>
  <cellStyles count="3">
    <cellStyle name="Comma" xfId="1" builtinId="3"/>
    <cellStyle name="Currency" xfId="2" builtinId="4"/>
    <cellStyle name="Normal" xfId="0" builtinId="0"/>
  </cellStyles>
  <dxfs count="44">
    <dxf>
      <fill>
        <patternFill>
          <bgColor rgb="FFFF0000"/>
        </patternFill>
      </fill>
    </dxf>
    <dxf>
      <font>
        <b/>
        <i val="0"/>
      </font>
      <fill>
        <patternFill>
          <bgColor rgb="FFFF0000"/>
        </patternFill>
      </fill>
    </dxf>
    <dxf>
      <fill>
        <patternFill>
          <bgColor rgb="FFFF0000"/>
        </patternFill>
      </fill>
    </dxf>
    <dxf>
      <numFmt numFmtId="164" formatCode="_-[$₦-46A]* #,##0.00_-;\-[$₦-46A]* #,##0.00_-;_-[$₦-46A]* &quot;-&quot;??_-;_-@_-"/>
      <fill>
        <patternFill patternType="solid">
          <fgColor indexed="64"/>
          <bgColor theme="6" tint="0.59999389629810485"/>
        </patternFill>
      </fill>
      <protection locked="1" hidden="0"/>
    </dxf>
    <dxf>
      <numFmt numFmtId="164" formatCode="_-[$₦-46A]* #,##0.00_-;\-[$₦-46A]* #,##0.00_-;_-[$₦-46A]* &quot;-&quot;??_-;_-@_-"/>
      <fill>
        <patternFill patternType="solid">
          <fgColor indexed="64"/>
          <bgColor theme="6" tint="0.59999389629810485"/>
        </patternFill>
      </fill>
      <protection locked="1" hidden="0"/>
    </dxf>
    <dxf>
      <numFmt numFmtId="164" formatCode="_-[$₦-46A]* #,##0.00_-;\-[$₦-46A]* #,##0.00_-;_-[$₦-46A]* &quot;-&quot;??_-;_-@_-"/>
      <fill>
        <patternFill patternType="solid">
          <fgColor indexed="64"/>
          <bgColor theme="6" tint="0.59999389629810485"/>
        </patternFill>
      </fill>
      <protection locked="1" hidden="0"/>
    </dxf>
    <dxf>
      <protection locked="0" hidden="0"/>
    </dxf>
    <dxf>
      <numFmt numFmtId="30" formatCode="@"/>
      <protection locked="0" hidden="0"/>
    </dxf>
    <dxf>
      <numFmt numFmtId="30" formatCode="@"/>
      <protection locked="0" hidden="0"/>
    </dxf>
    <dxf>
      <numFmt numFmtId="164" formatCode="_-[$₦-46A]* #,##0.00_-;\-[$₦-46A]* #,##0.00_-;_-[$₦-46A]* &quot;-&quot;??_-;_-@_-"/>
      <protection locked="0" hidden="0"/>
    </dxf>
    <dxf>
      <numFmt numFmtId="164" formatCode="_-[$₦-46A]* #,##0.00_-;\-[$₦-46A]* #,##0.00_-;_-[$₦-46A]* &quot;-&quot;??_-;_-@_-"/>
      <protection locked="0" hidden="0"/>
    </dxf>
    <dxf>
      <numFmt numFmtId="1" formatCode="0"/>
      <protection locked="0" hidden="0"/>
    </dxf>
    <dxf>
      <numFmt numFmtId="30" formatCode="@"/>
      <protection locked="0" hidden="0"/>
    </dxf>
    <dxf>
      <numFmt numFmtId="30" formatCode="@"/>
      <protection locked="0" hidden="0"/>
    </dxf>
    <dxf>
      <numFmt numFmtId="30" formatCode="@"/>
      <protection locked="0" hidden="0"/>
    </dxf>
    <dxf>
      <numFmt numFmtId="165" formatCode="[$-409]d\-mmm\-yyyy;@"/>
      <protection locked="0" hidden="0"/>
    </dxf>
    <dxf>
      <numFmt numFmtId="167" formatCode="_-[$₦-46A]* #,##0_-;\-[$₦-46A]* #,##0_-;_-[$₦-46A]* &quot;-&quot;_-;_-@_-"/>
    </dxf>
    <dxf>
      <numFmt numFmtId="167" formatCode="_-[$₦-46A]* #,##0_-;\-[$₦-46A]* #,##0_-;_-[$₦-46A]* &quot;-&quot;_-;_-@_-"/>
    </dxf>
    <dxf>
      <numFmt numFmtId="167" formatCode="_-[$₦-46A]* #,##0_-;\-[$₦-46A]* #,##0_-;_-[$₦-46A]* &quot;-&quot;_-;_-@_-"/>
    </dxf>
    <dxf>
      <numFmt numFmtId="165" formatCode="[$-409]d\-mmm\-yyyy;@"/>
    </dxf>
    <dxf>
      <numFmt numFmtId="0" formatCode="General"/>
    </dxf>
    <dxf>
      <numFmt numFmtId="1" formatCode="0"/>
    </dxf>
    <dxf>
      <numFmt numFmtId="1" formatCode="0"/>
      <protection locked="1" hidden="0"/>
    </dxf>
    <dxf>
      <numFmt numFmtId="1" formatCode="0"/>
    </dxf>
    <dxf>
      <numFmt numFmtId="1" formatCode="0"/>
    </dxf>
    <dxf>
      <numFmt numFmtId="30" formatCode="@"/>
    </dxf>
    <dxf>
      <numFmt numFmtId="30" formatCode="@"/>
    </dxf>
    <dxf>
      <numFmt numFmtId="30" formatCode="@"/>
    </dxf>
    <dxf>
      <numFmt numFmtId="165" formatCode="[$-409]d\-mmm\-yyyy;@"/>
    </dxf>
    <dxf>
      <border outline="0">
        <top style="thin">
          <color auto="1"/>
        </top>
      </border>
    </dxf>
    <dxf>
      <border outline="0">
        <bottom style="thin">
          <color auto="1"/>
        </bottom>
      </border>
    </dxf>
    <dxf>
      <font>
        <b/>
        <i val="0"/>
        <strike val="0"/>
        <condense val="0"/>
        <extend val="0"/>
        <outline val="0"/>
        <shadow val="0"/>
        <u val="none"/>
        <vertAlign val="baseline"/>
        <sz val="11"/>
        <color theme="1"/>
        <name val="Aptos Narrow"/>
        <family val="2"/>
        <scheme val="minor"/>
      </font>
      <alignment horizontal="center" vertical="top" textRotation="0" wrapText="0" indent="0" justifyLastLine="0" shrinkToFit="0" readingOrder="0"/>
      <border diagonalUp="0" diagonalDown="0" outline="0">
        <left style="thin">
          <color auto="1"/>
        </left>
        <right style="thin">
          <color auto="1"/>
        </right>
        <top/>
        <bottom/>
      </border>
    </dxf>
    <dxf>
      <numFmt numFmtId="30" formatCode="@"/>
      <protection locked="0" hidden="0"/>
    </dxf>
    <dxf>
      <numFmt numFmtId="164" formatCode="_-[$₦-46A]* #,##0.00_-;\-[$₦-46A]* #,##0.00_-;_-[$₦-46A]* &quot;-&quot;??_-;_-@_-"/>
      <protection locked="0" hidden="0"/>
    </dxf>
    <dxf>
      <numFmt numFmtId="30" formatCode="@"/>
      <protection locked="0" hidden="0"/>
    </dxf>
    <dxf>
      <numFmt numFmtId="30" formatCode="@"/>
      <protection locked="0" hidden="0"/>
    </dxf>
    <dxf>
      <numFmt numFmtId="165" formatCode="[$-409]d\-mmm\-yyyy;@"/>
      <protection locked="0" hidden="0"/>
    </dxf>
    <dxf>
      <border diagonalUp="0" diagonalDown="0">
        <left style="thin">
          <color auto="1"/>
        </left>
        <right style="thin">
          <color auto="1"/>
        </right>
        <top style="thin">
          <color auto="1"/>
        </top>
        <bottom style="thin">
          <color auto="1"/>
        </bottom>
      </border>
    </dxf>
    <dxf>
      <protection locked="0" hidden="0"/>
    </dxf>
    <dxf>
      <border outline="0">
        <bottom style="thin">
          <color auto="1"/>
        </bottom>
      </border>
    </dxf>
    <dxf>
      <font>
        <b/>
        <i val="0"/>
        <strike val="0"/>
        <condense val="0"/>
        <extend val="0"/>
        <outline val="0"/>
        <shadow val="0"/>
        <u val="none"/>
        <vertAlign val="baseline"/>
        <sz val="11"/>
        <color theme="1"/>
        <name val="Aptos Narrow"/>
        <family val="2"/>
        <scheme val="minor"/>
      </font>
      <alignment horizontal="center" vertical="top" textRotation="0" wrapText="0" indent="0" justifyLastLine="0" shrinkToFit="0" readingOrder="0"/>
      <border diagonalUp="0" diagonalDown="0">
        <left style="thin">
          <color auto="1"/>
        </left>
        <right style="thin">
          <color auto="1"/>
        </right>
        <top/>
        <bottom/>
      </border>
      <protection locked="0" hidden="0"/>
    </dxf>
    <dxf>
      <border diagonalUp="0" diagonalDown="0">
        <left style="thin">
          <color auto="1"/>
        </left>
        <right style="thin">
          <color auto="1"/>
        </right>
        <top style="thin">
          <color auto="1"/>
        </top>
        <bottom style="thin">
          <color auto="1"/>
        </bottom>
      </border>
    </dxf>
    <dxf>
      <border outline="0">
        <bottom style="thin">
          <color auto="1"/>
        </bottom>
      </border>
    </dxf>
    <dxf>
      <font>
        <b/>
        <i val="0"/>
        <strike val="0"/>
        <condense val="0"/>
        <extend val="0"/>
        <outline val="0"/>
        <shadow val="0"/>
        <u val="none"/>
        <vertAlign val="baseline"/>
        <sz val="11"/>
        <color theme="1"/>
        <name val="Aptos Narrow"/>
        <family val="2"/>
        <scheme val="minor"/>
      </font>
      <alignment horizontal="center" vertical="top" textRotation="0" wrapText="0" indent="0" justifyLastLine="0" shrinkToFit="0" readingOrder="0"/>
      <border diagonalUp="0" diagonalDown="0">
        <left style="thin">
          <color auto="1"/>
        </left>
        <right style="thin">
          <color auto="1"/>
        </right>
        <top/>
        <bottom/>
      </border>
      <protection locked="0" hidden="0"/>
    </dxf>
  </dxfs>
  <tableStyles count="0" defaultTableStyle="TableStyleMedium2" defaultPivotStyle="PivotStyleLight16"/>
  <colors>
    <mruColors>
      <color rgb="FFF2F2F0"/>
      <color rgb="FF180008"/>
    </mru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pivotCacheDefinition" Target="pivotCache/pivotCacheDefinition1.xml"/><Relationship Id="rId13" Type="http://schemas.openxmlformats.org/officeDocument/2006/relationships/pivotCacheDefinition" Target="pivotCache/pivotCacheDefinition6.xml"/><Relationship Id="rId18" Type="http://schemas.microsoft.com/office/2007/relationships/slicerCache" Target="slicerCaches/slicerCache1.xml"/><Relationship Id="rId26" Type="http://schemas.openxmlformats.org/officeDocument/2006/relationships/calcChain" Target="calcChain.xml"/><Relationship Id="rId3" Type="http://schemas.openxmlformats.org/officeDocument/2006/relationships/worksheet" Target="worksheets/sheet3.xml"/><Relationship Id="rId21" Type="http://schemas.openxmlformats.org/officeDocument/2006/relationships/connections" Target="connections.xml"/><Relationship Id="rId7" Type="http://schemas.openxmlformats.org/officeDocument/2006/relationships/worksheet" Target="worksheets/sheet7.xml"/><Relationship Id="rId12" Type="http://schemas.openxmlformats.org/officeDocument/2006/relationships/pivotCacheDefinition" Target="pivotCache/pivotCacheDefinition5.xml"/><Relationship Id="rId17" Type="http://schemas.openxmlformats.org/officeDocument/2006/relationships/pivotCacheDefinition" Target="pivotCache/pivotCacheDefinition10.xml"/><Relationship Id="rId25" Type="http://schemas.openxmlformats.org/officeDocument/2006/relationships/powerPivotData" Target="model/item.data"/><Relationship Id="rId2" Type="http://schemas.openxmlformats.org/officeDocument/2006/relationships/worksheet" Target="worksheets/sheet2.xml"/><Relationship Id="rId16" Type="http://schemas.openxmlformats.org/officeDocument/2006/relationships/pivotCacheDefinition" Target="pivotCache/pivotCacheDefinition9.xml"/><Relationship Id="rId20" Type="http://schemas.openxmlformats.org/officeDocument/2006/relationships/theme" Target="theme/theme1.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pivotCacheDefinition" Target="pivotCache/pivotCacheDefinition4.xml"/><Relationship Id="rId24" Type="http://schemas.openxmlformats.org/officeDocument/2006/relationships/sheetMetadata" Target="metadata.xml"/><Relationship Id="rId5" Type="http://schemas.openxmlformats.org/officeDocument/2006/relationships/worksheet" Target="worksheets/sheet5.xml"/><Relationship Id="rId15" Type="http://schemas.openxmlformats.org/officeDocument/2006/relationships/pivotCacheDefinition" Target="pivotCache/pivotCacheDefinition8.xml"/><Relationship Id="rId23" Type="http://schemas.openxmlformats.org/officeDocument/2006/relationships/sharedStrings" Target="sharedStrings.xml"/><Relationship Id="rId10" Type="http://schemas.openxmlformats.org/officeDocument/2006/relationships/pivotCacheDefinition" Target="pivotCache/pivotCacheDefinition3.xml"/><Relationship Id="rId19" Type="http://schemas.microsoft.com/office/2007/relationships/slicerCache" Target="slicerCaches/slicerCache2.xml"/><Relationship Id="rId4" Type="http://schemas.openxmlformats.org/officeDocument/2006/relationships/worksheet" Target="worksheets/sheet4.xml"/><Relationship Id="rId9" Type="http://schemas.openxmlformats.org/officeDocument/2006/relationships/pivotCacheDefinition" Target="pivotCache/pivotCacheDefinition2.xml"/><Relationship Id="rId14" Type="http://schemas.openxmlformats.org/officeDocument/2006/relationships/pivotCacheDefinition" Target="pivotCache/pivotCacheDefinition7.xml"/><Relationship Id="rId22" Type="http://schemas.openxmlformats.org/officeDocument/2006/relationships/styles" Target="styles.xml"/></Relationships>
</file>

<file path=xl/charts/_rels/chart1.xml.rels><?xml version="1.0" encoding="UTF-8" standalone="yes"?>
<Relationships xmlns="http://schemas.openxmlformats.org/package/2006/relationships"><Relationship Id="rId2" Type="http://schemas.microsoft.com/office/2011/relationships/chartColorStyle" Target="colors1.xml"/><Relationship Id="rId1" Type="http://schemas.microsoft.com/office/2011/relationships/chartStyle" Target="style1.xml"/></Relationships>
</file>

<file path=xl/charts/_rels/chart2.xml.rels><?xml version="1.0" encoding="UTF-8" standalone="yes"?>
<Relationships xmlns="http://schemas.openxmlformats.org/package/2006/relationships"><Relationship Id="rId2" Type="http://schemas.microsoft.com/office/2011/relationships/chartColorStyle" Target="colors2.xml"/><Relationship Id="rId1" Type="http://schemas.microsoft.com/office/2011/relationships/chartStyle" Target="style2.xml"/></Relationships>
</file>

<file path=xl/charts/_rels/chart3.xml.rels><?xml version="1.0" encoding="UTF-8" standalone="yes"?>
<Relationships xmlns="http://schemas.openxmlformats.org/package/2006/relationships"><Relationship Id="rId2" Type="http://schemas.microsoft.com/office/2011/relationships/chartColorStyle" Target="colors3.xml"/><Relationship Id="rId1" Type="http://schemas.microsoft.com/office/2011/relationships/chartStyle" Target="style3.xml"/></Relationships>
</file>

<file path=xl/charts/_rels/chart4.xml.rels><?xml version="1.0" encoding="UTF-8" standalone="yes"?>
<Relationships xmlns="http://schemas.openxmlformats.org/package/2006/relationships"><Relationship Id="rId2" Type="http://schemas.microsoft.com/office/2011/relationships/chartColorStyle" Target="colors4.xml"/><Relationship Id="rId1" Type="http://schemas.microsoft.com/office/2011/relationships/chartStyle" Target="style4.xml"/></Relationships>
</file>

<file path=xl/charts/chart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[Business_Sales_Tracker.xlsx]_Backend_Pivots!PivotTable9</c:name>
    <c:fmtId val="6"/>
  </c:pivotSource>
  <c:chart>
    <c:title>
      <c:tx>
        <c:rich>
          <a:bodyPr rot="0" spcFirstLastPara="1" vertOverflow="ellipsis" vert="horz" wrap="square" anchor="ctr" anchorCtr="1"/>
          <a:lstStyle/>
          <a:p>
            <a:pPr>
              <a:defRPr sz="1400" b="1" i="0" u="none" strike="noStrike" kern="1200" spc="0" baseline="0">
                <a:solidFill>
                  <a:schemeClr val="tx1"/>
                </a:solidFill>
                <a:latin typeface="+mn-lt"/>
                <a:ea typeface="+mn-ea"/>
                <a:cs typeface="+mn-cs"/>
              </a:defRPr>
            </a:pPr>
            <a:r>
              <a:rPr lang="en-US"/>
              <a:t>SALES TREND</a:t>
            </a:r>
          </a:p>
        </c:rich>
      </c:tx>
      <c:layout>
        <c:manualLayout>
          <c:xMode val="edge"/>
          <c:yMode val="edge"/>
          <c:x val="0.30932465235628082"/>
          <c:y val="3.6016331291921846E-2"/>
        </c:manualLayout>
      </c:layout>
      <c:overlay val="0"/>
      <c:spPr>
        <a:noFill/>
        <a:ln>
          <a:noFill/>
        </a:ln>
        <a:effectLst/>
      </c:spPr>
      <c:txPr>
        <a:bodyPr rot="0" spcFirstLastPara="1" vertOverflow="ellipsis" vert="horz" wrap="square" anchor="ctr" anchorCtr="1"/>
        <a:lstStyle/>
        <a:p>
          <a:pPr>
            <a:defRPr sz="1400" b="1" i="0" u="none" strike="noStrike" kern="1200" spc="0" baseline="0">
              <a:solidFill>
                <a:schemeClr val="tx1"/>
              </a:solidFill>
              <a:latin typeface="+mn-lt"/>
              <a:ea typeface="+mn-ea"/>
              <a:cs typeface="+mn-cs"/>
            </a:defRPr>
          </a:pPr>
          <a:endParaRPr lang="en-US"/>
        </a:p>
      </c:txPr>
    </c:title>
    <c:autoTitleDeleted val="0"/>
    <c:pivotFmts>
      <c:pivotFmt>
        <c:idx val="0"/>
        <c:spPr>
          <a:solidFill>
            <a:schemeClr val="accent1"/>
          </a:solidFill>
          <a:ln w="28575" cap="rnd">
            <a:solidFill>
              <a:schemeClr val="accent1"/>
            </a:solidFill>
            <a:round/>
          </a:ln>
          <a:effectLst/>
        </c:spPr>
        <c:marker>
          <c:symbol val="none"/>
        </c:marker>
        <c:dLbl>
          <c:idx val="0"/>
          <c:spPr>
            <a:noFill/>
            <a:ln>
              <a:noFill/>
            </a:ln>
            <a:effectLst/>
          </c:spPr>
          <c:txPr>
            <a:bodyPr rot="0" spcFirstLastPara="1" vertOverflow="ellipsis" vert="horz" wrap="square" anchor="ctr" anchorCtr="1"/>
            <a:lstStyle/>
            <a:p>
              <a:pPr>
                <a:defRPr sz="900" b="1" i="0" u="none" strike="noStrike" kern="1200" baseline="0">
                  <a:solidFill>
                    <a:schemeClr val="tx1"/>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tx1"/>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tx1"/>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
        <c:spPr>
          <a:solidFill>
            <a:schemeClr val="accent1"/>
          </a:solidFill>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tx1"/>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4"/>
        <c:spPr>
          <a:solidFill>
            <a:schemeClr val="accent1"/>
          </a:solidFill>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tx1"/>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5"/>
        <c:spPr>
          <a:solidFill>
            <a:schemeClr val="accent1"/>
          </a:solidFill>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tx1"/>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6"/>
        <c:spPr>
          <a:solidFill>
            <a:schemeClr val="accent1"/>
          </a:solidFill>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tx1"/>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7"/>
        <c:spPr>
          <a:solidFill>
            <a:schemeClr val="accent1"/>
          </a:solidFill>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tx1"/>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8"/>
        <c:spPr>
          <a:solidFill>
            <a:schemeClr val="accent1"/>
          </a:solidFill>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tx1"/>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9"/>
        <c:spPr>
          <a:solidFill>
            <a:schemeClr val="accent1"/>
          </a:solidFill>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tx1"/>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0"/>
        <c:spPr>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tx1"/>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lineChart>
        <c:grouping val="standard"/>
        <c:varyColors val="0"/>
        <c:ser>
          <c:idx val="0"/>
          <c:order val="0"/>
          <c:tx>
            <c:strRef>
              <c:f>_Backend_Pivots!$F$11</c:f>
              <c:strCache>
                <c:ptCount val="1"/>
                <c:pt idx="0">
                  <c:v>Total</c:v>
                </c:pt>
              </c:strCache>
            </c:strRef>
          </c:tx>
          <c:spPr>
            <a:ln w="28575" cap="rnd">
              <a:solidFill>
                <a:schemeClr val="accent1"/>
              </a:solidFill>
              <a:round/>
            </a:ln>
            <a:effectLst/>
          </c:spPr>
          <c:marker>
            <c:symbol val="none"/>
          </c:marker>
          <c:cat>
            <c:strRef>
              <c:f>_Backend_Pivots!$E$12:$E$21</c:f>
              <c:strCache>
                <c:ptCount val="9"/>
                <c:pt idx="0">
                  <c:v>1/1/2025</c:v>
                </c:pt>
                <c:pt idx="1">
                  <c:v>1/2/2025</c:v>
                </c:pt>
                <c:pt idx="2">
                  <c:v>1/3/2025</c:v>
                </c:pt>
                <c:pt idx="3">
                  <c:v>1/4/2025</c:v>
                </c:pt>
                <c:pt idx="4">
                  <c:v>1/5/2025</c:v>
                </c:pt>
                <c:pt idx="5">
                  <c:v>1/9/2025</c:v>
                </c:pt>
                <c:pt idx="6">
                  <c:v>1/10/2025</c:v>
                </c:pt>
                <c:pt idx="7">
                  <c:v>1/11/2025</c:v>
                </c:pt>
                <c:pt idx="8">
                  <c:v>1/12/2025</c:v>
                </c:pt>
              </c:strCache>
            </c:strRef>
          </c:cat>
          <c:val>
            <c:numRef>
              <c:f>_Backend_Pivots!$F$12:$F$21</c:f>
              <c:numCache>
                <c:formatCode>_-[$₦-46A]* #,##0_-;\-[$₦-46A]* #,##0_-;_-[$₦-46A]* "-"_-;_-@_-</c:formatCode>
                <c:ptCount val="9"/>
                <c:pt idx="0">
                  <c:v>1500</c:v>
                </c:pt>
                <c:pt idx="1">
                  <c:v>1000</c:v>
                </c:pt>
                <c:pt idx="2">
                  <c:v>5000</c:v>
                </c:pt>
                <c:pt idx="3">
                  <c:v>5050</c:v>
                </c:pt>
                <c:pt idx="4">
                  <c:v>2400</c:v>
                </c:pt>
                <c:pt idx="5">
                  <c:v>9500</c:v>
                </c:pt>
                <c:pt idx="6">
                  <c:v>10000</c:v>
                </c:pt>
                <c:pt idx="7">
                  <c:v>3900</c:v>
                </c:pt>
                <c:pt idx="8">
                  <c:v>600</c:v>
                </c:pt>
              </c:numCache>
            </c:numRef>
          </c:val>
          <c:smooth val="0"/>
          <c:extLst>
            <c:ext xmlns:c16="http://schemas.microsoft.com/office/drawing/2014/chart" uri="{C3380CC4-5D6E-409C-BE32-E72D297353CC}">
              <c16:uniqueId val="{00000007-713B-4EB5-8EE5-01380571DDC6}"/>
            </c:ext>
          </c:extLst>
        </c:ser>
        <c:dLbls>
          <c:showLegendKey val="0"/>
          <c:showVal val="0"/>
          <c:showCatName val="0"/>
          <c:showSerName val="0"/>
          <c:showPercent val="0"/>
          <c:showBubbleSize val="0"/>
        </c:dLbls>
        <c:smooth val="0"/>
        <c:axId val="482426176"/>
        <c:axId val="482425216"/>
      </c:lineChart>
      <c:catAx>
        <c:axId val="482426176"/>
        <c:scaling>
          <c:orientation val="minMax"/>
        </c:scaling>
        <c:delete val="1"/>
        <c:axPos val="b"/>
        <c:numFmt formatCode="General" sourceLinked="1"/>
        <c:majorTickMark val="none"/>
        <c:minorTickMark val="none"/>
        <c:tickLblPos val="nextTo"/>
        <c:crossAx val="482425216"/>
        <c:crosses val="autoZero"/>
        <c:auto val="1"/>
        <c:lblAlgn val="ctr"/>
        <c:lblOffset val="100"/>
        <c:noMultiLvlLbl val="0"/>
      </c:catAx>
      <c:valAx>
        <c:axId val="482425216"/>
        <c:scaling>
          <c:orientation val="minMax"/>
        </c:scaling>
        <c:delete val="0"/>
        <c:axPos val="l"/>
        <c:numFmt formatCode="_-[$₦-46A]* #,##0_-;\-[$₦-46A]* #,##0_-;_-[$₦-46A]* &quot;-&quot;_-;_-@_-" sourceLinked="1"/>
        <c:majorTickMark val="none"/>
        <c:minorTickMark val="none"/>
        <c:tickLblPos val="nextTo"/>
        <c:spPr>
          <a:noFill/>
          <a:ln>
            <a:noFill/>
          </a:ln>
          <a:effectLst/>
        </c:spPr>
        <c:txPr>
          <a:bodyPr rot="-60000000" spcFirstLastPara="1" vertOverflow="ellipsis" vert="horz" wrap="square" anchor="ctr" anchorCtr="1"/>
          <a:lstStyle/>
          <a:p>
            <a:pPr>
              <a:defRPr sz="900" b="1" i="0" u="none" strike="noStrike" kern="1200" baseline="0">
                <a:solidFill>
                  <a:schemeClr val="tx1"/>
                </a:solidFill>
                <a:latin typeface="+mn-lt"/>
                <a:ea typeface="+mn-ea"/>
                <a:cs typeface="+mn-cs"/>
              </a:defRPr>
            </a:pPr>
            <a:endParaRPr lang="en-US"/>
          </a:p>
        </c:txPr>
        <c:crossAx val="482426176"/>
        <c:crosses val="autoZero"/>
        <c:crossBetween val="between"/>
      </c:valAx>
      <c:spPr>
        <a:noFill/>
        <a:ln w="25400">
          <a:noFill/>
        </a:ln>
        <a:effectLst/>
      </c:spPr>
    </c:plotArea>
    <c:plotVisOnly val="1"/>
    <c:dispBlanksAs val="gap"/>
    <c:showDLblsOverMax val="0"/>
    <c:extLst/>
  </c:chart>
  <c:spPr>
    <a:noFill/>
    <a:ln w="9525" cap="flat" cmpd="sng" algn="ctr">
      <a:noFill/>
      <a:round/>
    </a:ln>
    <a:effectLst/>
  </c:spPr>
  <c:txPr>
    <a:bodyPr/>
    <a:lstStyle/>
    <a:p>
      <a:pPr>
        <a:defRPr b="1">
          <a:solidFill>
            <a:schemeClr val="tx1"/>
          </a:solidFill>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[Business_Sales_Tracker.xlsx]_Backend_Pivots!PivotTable10</c:name>
    <c:fmtId val="3"/>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b="1">
                <a:solidFill>
                  <a:schemeClr val="tx1"/>
                </a:solidFill>
              </a:rPr>
              <a:t>P</a:t>
            </a:r>
            <a:r>
              <a:rPr lang="en-US" b="1" baseline="0">
                <a:solidFill>
                  <a:schemeClr val="tx1"/>
                </a:solidFill>
              </a:rPr>
              <a:t>rofit By Product</a:t>
            </a:r>
            <a:endParaRPr lang="en-US" b="1">
              <a:solidFill>
                <a:schemeClr val="tx1"/>
              </a:solidFill>
            </a:endParaRPr>
          </a:p>
        </c:rich>
      </c:tx>
      <c:layout>
        <c:manualLayout>
          <c:xMode val="edge"/>
          <c:yMode val="edge"/>
          <c:x val="0.29314285714285715"/>
          <c:y val="1.7497812773403329E-2"/>
        </c:manualLayout>
      </c:layout>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rgbClr val="FF0000"/>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rgbClr val="FF0000"/>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manualLayout>
          <c:layoutTarget val="inner"/>
          <c:xMode val="edge"/>
          <c:yMode val="edge"/>
          <c:x val="0.14921934758155231"/>
          <c:y val="0.13323855351414407"/>
          <c:w val="0.81268541432320962"/>
          <c:h val="0.65890128317293672"/>
        </c:manualLayout>
      </c:layout>
      <c:barChart>
        <c:barDir val="col"/>
        <c:grouping val="clustered"/>
        <c:varyColors val="0"/>
        <c:ser>
          <c:idx val="0"/>
          <c:order val="0"/>
          <c:tx>
            <c:strRef>
              <c:f>_Backend_Pivots!$B$17</c:f>
              <c:strCache>
                <c:ptCount val="1"/>
                <c:pt idx="0">
                  <c:v>Total</c:v>
                </c:pt>
              </c:strCache>
            </c:strRef>
          </c:tx>
          <c:spPr>
            <a:solidFill>
              <a:srgbClr val="FF0000"/>
            </a:solidFill>
            <a:ln>
              <a:noFill/>
            </a:ln>
            <a:effectLst/>
          </c:spPr>
          <c:invertIfNegative val="0"/>
          <c:cat>
            <c:strRef>
              <c:f>_Backend_Pivots!$A$18:$A$22</c:f>
              <c:strCache>
                <c:ptCount val="4"/>
                <c:pt idx="0">
                  <c:v>BREAD</c:v>
                </c:pt>
                <c:pt idx="1">
                  <c:v>Bottle Water</c:v>
                </c:pt>
                <c:pt idx="2">
                  <c:v>Canned Soda</c:v>
                </c:pt>
                <c:pt idx="3">
                  <c:v>Energy Drink</c:v>
                </c:pt>
              </c:strCache>
            </c:strRef>
          </c:cat>
          <c:val>
            <c:numRef>
              <c:f>_Backend_Pivots!$B$18:$B$22</c:f>
              <c:numCache>
                <c:formatCode>_-[$₦-46A]* #,##0_-;\-[$₦-46A]* #,##0_-;_-[$₦-46A]* "-"_-;_-@_-</c:formatCode>
                <c:ptCount val="4"/>
                <c:pt idx="0">
                  <c:v>10150</c:v>
                </c:pt>
                <c:pt idx="1">
                  <c:v>3150</c:v>
                </c:pt>
                <c:pt idx="2">
                  <c:v>2160</c:v>
                </c:pt>
                <c:pt idx="3">
                  <c:v>1040</c:v>
                </c:pt>
              </c:numCache>
            </c:numRef>
          </c:val>
          <c:extLst>
            <c:ext xmlns:c16="http://schemas.microsoft.com/office/drawing/2014/chart" uri="{C3380CC4-5D6E-409C-BE32-E72D297353CC}">
              <c16:uniqueId val="{00000000-7CC2-4D83-8706-B2D236AF240B}"/>
            </c:ext>
          </c:extLst>
        </c:ser>
        <c:dLbls>
          <c:showLegendKey val="0"/>
          <c:showVal val="0"/>
          <c:showCatName val="0"/>
          <c:showSerName val="0"/>
          <c:showPercent val="0"/>
          <c:showBubbleSize val="0"/>
        </c:dLbls>
        <c:gapWidth val="219"/>
        <c:overlap val="-27"/>
        <c:axId val="1250001024"/>
        <c:axId val="1250001984"/>
      </c:barChart>
      <c:catAx>
        <c:axId val="1250001024"/>
        <c:scaling>
          <c:orientation val="minMax"/>
        </c:scaling>
        <c:delete val="0"/>
        <c:axPos val="b"/>
        <c:numFmt formatCode="General" sourceLinked="1"/>
        <c:majorTickMark val="out"/>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solidFill>
                <a:latin typeface="+mn-lt"/>
                <a:ea typeface="+mn-ea"/>
                <a:cs typeface="+mn-cs"/>
              </a:defRPr>
            </a:pPr>
            <a:endParaRPr lang="en-US"/>
          </a:p>
        </c:txPr>
        <c:crossAx val="1250001984"/>
        <c:crosses val="autoZero"/>
        <c:auto val="1"/>
        <c:lblAlgn val="ctr"/>
        <c:lblOffset val="100"/>
        <c:noMultiLvlLbl val="0"/>
      </c:catAx>
      <c:valAx>
        <c:axId val="1250001984"/>
        <c:scaling>
          <c:orientation val="minMax"/>
        </c:scaling>
        <c:delete val="0"/>
        <c:axPos val="l"/>
        <c:numFmt formatCode="_-[$₦-46A]* #,##0_-;\-[$₦-46A]* #,##0_-;_-[$₦-46A]* &quot;-&quot;_-;_-@_-" sourceLinked="1"/>
        <c:majorTickMark val="out"/>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solidFill>
                <a:latin typeface="+mn-lt"/>
                <a:ea typeface="+mn-ea"/>
                <a:cs typeface="+mn-cs"/>
              </a:defRPr>
            </a:pPr>
            <a:endParaRPr lang="en-US"/>
          </a:p>
        </c:txPr>
        <c:crossAx val="1250001024"/>
        <c:crosses val="autoZero"/>
        <c:crossBetween val="between"/>
      </c:valAx>
      <c:spPr>
        <a:noFill/>
        <a:ln>
          <a:noFill/>
        </a:ln>
        <a:effectLst/>
      </c:spPr>
    </c:plotArea>
    <c:plotVisOnly val="1"/>
    <c:dispBlanksAs val="gap"/>
    <c:extLst>
      <c:ext xmlns:c16r3="http://schemas.microsoft.com/office/drawing/2017/03/chart" uri="{56B9EC1D-385E-4148-901F-78D8002777C0}">
        <c16r3:dataDisplayOptions16>
          <c16r3:dispNaAsBlank val="1"/>
        </c16r3:dataDisplayOptions16>
      </c:ext>
    </c:extLst>
    <c:showDLblsOverMax val="0"/>
  </c:chart>
  <c:spPr>
    <a:noFill/>
    <a:ln w="9525" cap="flat" cmpd="sng" algn="ctr">
      <a:no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[Business_Sales_Tracker.xlsx]_Backend_Pivots!PivotTable12</c:name>
    <c:fmtId val="4"/>
  </c:pivotSource>
  <c:chart>
    <c:title>
      <c:tx>
        <c:rich>
          <a:bodyPr rot="0" spcFirstLastPara="1" vertOverflow="ellipsis" vert="horz" wrap="square" anchor="ctr" anchorCtr="1"/>
          <a:lstStyle/>
          <a:p>
            <a:pPr>
              <a:defRPr sz="1400" b="1" i="0" u="none" strike="noStrike" kern="1200" spc="0" baseline="0">
                <a:solidFill>
                  <a:schemeClr val="tx1"/>
                </a:solidFill>
                <a:latin typeface="+mn-lt"/>
                <a:ea typeface="+mn-ea"/>
                <a:cs typeface="+mn-cs"/>
              </a:defRPr>
            </a:pPr>
            <a:r>
              <a:rPr lang="en-US" b="1"/>
              <a:t>Expenses Breakdown</a:t>
            </a:r>
          </a:p>
        </c:rich>
      </c:tx>
      <c:overlay val="0"/>
      <c:spPr>
        <a:noFill/>
        <a:ln>
          <a:noFill/>
        </a:ln>
        <a:effectLst/>
      </c:spPr>
      <c:txPr>
        <a:bodyPr rot="0" spcFirstLastPara="1" vertOverflow="ellipsis" vert="horz" wrap="square" anchor="ctr" anchorCtr="1"/>
        <a:lstStyle/>
        <a:p>
          <a:pPr>
            <a:defRPr sz="1400" b="1" i="0" u="none" strike="noStrike" kern="1200" spc="0" baseline="0">
              <a:solidFill>
                <a:schemeClr val="tx1"/>
              </a:solidFill>
              <a:latin typeface="+mn-lt"/>
              <a:ea typeface="+mn-ea"/>
              <a:cs typeface="+mn-cs"/>
            </a:defRPr>
          </a:pPr>
          <a:endParaRPr lang="en-US"/>
        </a:p>
      </c:txPr>
    </c:title>
    <c:autoTitleDeleted val="0"/>
    <c:pivotFmts>
      <c:pivotFmt>
        <c:idx val="0"/>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anchor="ctr" anchorCtr="1"/>
            <a:lstStyle/>
            <a:p>
              <a:pPr>
                <a:defRPr sz="900" b="0" i="0" u="none" strike="noStrike" kern="1200" baseline="0">
                  <a:solidFill>
                    <a:schemeClr val="tx1"/>
                  </a:solidFill>
                  <a:latin typeface="+mn-lt"/>
                  <a:ea typeface="+mn-ea"/>
                  <a:cs typeface="+mn-cs"/>
                </a:defRPr>
              </a:pPr>
              <a:endParaRPr lang="en-US"/>
            </a:p>
          </c:txPr>
          <c:dLblPos val="bestFit"/>
          <c:showLegendKey val="0"/>
          <c:showVal val="1"/>
          <c:showCatName val="0"/>
          <c:showSerName val="0"/>
          <c:showPercent val="0"/>
          <c:showBubbleSize val="0"/>
          <c:extLst>
            <c:ext xmlns:c15="http://schemas.microsoft.com/office/drawing/2012/chart" uri="{CE6537A1-D6FC-4f65-9D91-7224C49458BB}"/>
          </c:extLst>
        </c:dLbl>
      </c:pivotFmt>
      <c:pivotFmt>
        <c:idx val="1"/>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anchor="ctr" anchorCtr="1"/>
            <a:lstStyle/>
            <a:p>
              <a:pPr>
                <a:defRPr sz="900" b="0" i="0" u="none" strike="noStrike" kern="1200" baseline="0">
                  <a:solidFill>
                    <a:schemeClr val="tx1"/>
                  </a:solidFill>
                  <a:latin typeface="+mn-lt"/>
                  <a:ea typeface="+mn-ea"/>
                  <a:cs typeface="+mn-cs"/>
                </a:defRPr>
              </a:pPr>
              <a:endParaRPr lang="en-US"/>
            </a:p>
          </c:txPr>
          <c:dLblPos val="bestFit"/>
          <c:showLegendKey val="0"/>
          <c:showVal val="1"/>
          <c:showCatName val="0"/>
          <c:showSerName val="0"/>
          <c:showPercent val="0"/>
          <c:showBubbleSize val="0"/>
          <c:extLst>
            <c:ext xmlns:c15="http://schemas.microsoft.com/office/drawing/2012/chart" uri="{CE6537A1-D6FC-4f65-9D91-7224C49458BB}"/>
          </c:extLst>
        </c:dLbl>
      </c:pivotFmt>
      <c:pivotFmt>
        <c:idx val="2"/>
        <c:spPr>
          <a:solidFill>
            <a:schemeClr val="accent1"/>
          </a:solidFill>
          <a:ln w="19050">
            <a:solidFill>
              <a:schemeClr val="lt1"/>
            </a:solidFill>
          </a:ln>
          <a:effectLst/>
        </c:spPr>
      </c:pivotFmt>
      <c:pivotFmt>
        <c:idx val="3"/>
        <c:spPr>
          <a:solidFill>
            <a:schemeClr val="accent1"/>
          </a:solidFill>
          <a:ln w="19050">
            <a:solidFill>
              <a:schemeClr val="lt1"/>
            </a:solidFill>
          </a:ln>
          <a:effectLst/>
        </c:spPr>
      </c:pivotFmt>
      <c:pivotFmt>
        <c:idx val="4"/>
        <c:spPr>
          <a:solidFill>
            <a:schemeClr val="accent1"/>
          </a:solidFill>
          <a:ln w="19050">
            <a:solidFill>
              <a:schemeClr val="lt1"/>
            </a:solidFill>
          </a:ln>
          <a:effectLst/>
        </c:spPr>
      </c:pivotFmt>
      <c:pivotFmt>
        <c:idx val="5"/>
        <c:spPr>
          <a:solidFill>
            <a:schemeClr val="accent1"/>
          </a:solidFill>
          <a:ln w="19050">
            <a:solidFill>
              <a:schemeClr val="lt1"/>
            </a:solidFill>
          </a:ln>
          <a:effectLst/>
        </c:spPr>
      </c:pivotFmt>
      <c:pivotFmt>
        <c:idx val="6"/>
        <c:spPr>
          <a:solidFill>
            <a:schemeClr val="accent1"/>
          </a:solidFill>
          <a:ln w="19050">
            <a:solidFill>
              <a:schemeClr val="lt1"/>
            </a:solidFill>
          </a:ln>
          <a:effectLst/>
        </c:spPr>
      </c:pivotFmt>
      <c:pivotFmt>
        <c:idx val="7"/>
        <c:spPr>
          <a:solidFill>
            <a:schemeClr val="accent1"/>
          </a:solidFill>
          <a:ln w="19050">
            <a:solidFill>
              <a:schemeClr val="lt1"/>
            </a:solidFill>
          </a:ln>
          <a:effectLst/>
        </c:spPr>
      </c:pivotFmt>
      <c:pivotFmt>
        <c:idx val="8"/>
        <c:spPr>
          <a:solidFill>
            <a:schemeClr val="accent1"/>
          </a:solidFill>
          <a:ln w="19050">
            <a:solidFill>
              <a:schemeClr val="lt1"/>
            </a:solidFill>
          </a:ln>
          <a:effectLst/>
        </c:spPr>
      </c:pivotFmt>
      <c:pivotFmt>
        <c:idx val="9"/>
        <c:spPr>
          <a:solidFill>
            <a:schemeClr val="accent1"/>
          </a:solidFill>
          <a:ln w="19050">
            <a:solidFill>
              <a:schemeClr val="lt1"/>
            </a:solidFill>
          </a:ln>
          <a:effectLst/>
        </c:spPr>
      </c:pivotFmt>
    </c:pivotFmts>
    <c:plotArea>
      <c:layout/>
      <c:pieChart>
        <c:varyColors val="1"/>
        <c:ser>
          <c:idx val="0"/>
          <c:order val="0"/>
          <c:tx>
            <c:strRef>
              <c:f>_Backend_Pivots!$Q$1</c:f>
              <c:strCache>
                <c:ptCount val="1"/>
                <c:pt idx="0">
                  <c:v>Total</c:v>
                </c:pt>
              </c:strCache>
            </c:strRef>
          </c:tx>
          <c:dPt>
            <c:idx val="0"/>
            <c:bubble3D val="0"/>
            <c:spPr>
              <a:solidFill>
                <a:schemeClr val="accent1"/>
              </a:solidFill>
              <a:ln w="19050">
                <a:solidFill>
                  <a:schemeClr val="lt1"/>
                </a:solidFill>
              </a:ln>
              <a:effectLst/>
            </c:spPr>
            <c:extLst>
              <c:ext xmlns:c16="http://schemas.microsoft.com/office/drawing/2014/chart" uri="{C3380CC4-5D6E-409C-BE32-E72D297353CC}">
                <c16:uniqueId val="{00000001-5E09-4B48-BBA3-B553D7A878A2}"/>
              </c:ext>
            </c:extLst>
          </c:dPt>
          <c:dPt>
            <c:idx val="1"/>
            <c:bubble3D val="0"/>
            <c:spPr>
              <a:solidFill>
                <a:schemeClr val="accent2"/>
              </a:solidFill>
              <a:ln w="19050">
                <a:solidFill>
                  <a:schemeClr val="lt1"/>
                </a:solidFill>
              </a:ln>
              <a:effectLst/>
            </c:spPr>
            <c:extLst>
              <c:ext xmlns:c16="http://schemas.microsoft.com/office/drawing/2014/chart" uri="{C3380CC4-5D6E-409C-BE32-E72D297353CC}">
                <c16:uniqueId val="{00000003-5E09-4B48-BBA3-B553D7A878A2}"/>
              </c:ext>
            </c:extLst>
          </c:dPt>
          <c:dPt>
            <c:idx val="2"/>
            <c:bubble3D val="0"/>
            <c:spPr>
              <a:solidFill>
                <a:schemeClr val="accent3"/>
              </a:solidFill>
              <a:ln w="19050">
                <a:solidFill>
                  <a:schemeClr val="lt1"/>
                </a:solidFill>
              </a:ln>
              <a:effectLst/>
            </c:spPr>
            <c:extLst>
              <c:ext xmlns:c16="http://schemas.microsoft.com/office/drawing/2014/chart" uri="{C3380CC4-5D6E-409C-BE32-E72D297353CC}">
                <c16:uniqueId val="{00000005-5E09-4B48-BBA3-B553D7A878A2}"/>
              </c:ext>
            </c:extLst>
          </c:dPt>
          <c:dPt>
            <c:idx val="3"/>
            <c:bubble3D val="0"/>
            <c:spPr>
              <a:solidFill>
                <a:schemeClr val="accent4"/>
              </a:solidFill>
              <a:ln w="19050">
                <a:solidFill>
                  <a:schemeClr val="lt1"/>
                </a:solidFill>
              </a:ln>
              <a:effectLst/>
            </c:spPr>
            <c:extLst>
              <c:ext xmlns:c16="http://schemas.microsoft.com/office/drawing/2014/chart" uri="{C3380CC4-5D6E-409C-BE32-E72D297353CC}">
                <c16:uniqueId val="{00000007-5E09-4B48-BBA3-B553D7A878A2}"/>
              </c:ext>
            </c:extLst>
          </c:dPt>
          <c:dPt>
            <c:idx val="4"/>
            <c:bubble3D val="0"/>
            <c:spPr>
              <a:solidFill>
                <a:schemeClr val="accent5"/>
              </a:solidFill>
              <a:ln w="19050">
                <a:solidFill>
                  <a:schemeClr val="lt1"/>
                </a:solidFill>
              </a:ln>
              <a:effectLst/>
            </c:spPr>
            <c:extLst>
              <c:ext xmlns:c16="http://schemas.microsoft.com/office/drawing/2014/chart" uri="{C3380CC4-5D6E-409C-BE32-E72D297353CC}">
                <c16:uniqueId val="{00000009-5E09-4B48-BBA3-B553D7A878A2}"/>
              </c:ext>
            </c:extLst>
          </c:dPt>
          <c:dPt>
            <c:idx val="5"/>
            <c:bubble3D val="0"/>
            <c:spPr>
              <a:solidFill>
                <a:schemeClr val="accent6"/>
              </a:solidFill>
              <a:ln w="19050">
                <a:solidFill>
                  <a:schemeClr val="lt1"/>
                </a:solidFill>
              </a:ln>
              <a:effectLst/>
            </c:spPr>
            <c:extLst>
              <c:ext xmlns:c16="http://schemas.microsoft.com/office/drawing/2014/chart" uri="{C3380CC4-5D6E-409C-BE32-E72D297353CC}">
                <c16:uniqueId val="{0000000B-5E09-4B48-BBA3-B553D7A878A2}"/>
              </c:ext>
            </c:extLst>
          </c:dPt>
          <c:dPt>
            <c:idx val="6"/>
            <c:bubble3D val="0"/>
            <c:spPr>
              <a:solidFill>
                <a:schemeClr val="accent1">
                  <a:lumMod val="60000"/>
                </a:schemeClr>
              </a:solidFill>
              <a:ln w="19050">
                <a:solidFill>
                  <a:schemeClr val="lt1"/>
                </a:solidFill>
              </a:ln>
              <a:effectLst/>
            </c:spPr>
            <c:extLst>
              <c:ext xmlns:c16="http://schemas.microsoft.com/office/drawing/2014/chart" uri="{C3380CC4-5D6E-409C-BE32-E72D297353CC}">
                <c16:uniqueId val="{0000000D-5E09-4B48-BBA3-B553D7A878A2}"/>
              </c:ext>
            </c:extLst>
          </c:dPt>
          <c:dPt>
            <c:idx val="7"/>
            <c:bubble3D val="0"/>
            <c:spPr>
              <a:solidFill>
                <a:schemeClr val="accent2">
                  <a:lumMod val="60000"/>
                </a:schemeClr>
              </a:solidFill>
              <a:ln w="19050">
                <a:solidFill>
                  <a:schemeClr val="lt1"/>
                </a:solidFill>
              </a:ln>
              <a:effectLst/>
            </c:spPr>
            <c:extLst>
              <c:ext xmlns:c16="http://schemas.microsoft.com/office/drawing/2014/chart" uri="{C3380CC4-5D6E-409C-BE32-E72D297353CC}">
                <c16:uniqueId val="{0000000F-5E09-4B48-BBA3-B553D7A878A2}"/>
              </c:ext>
            </c:extLst>
          </c:dPt>
          <c:dLbls>
            <c:spPr>
              <a:noFill/>
              <a:ln>
                <a:noFill/>
              </a:ln>
              <a:effectLst/>
            </c:spPr>
            <c:txPr>
              <a:bodyPr rot="0" spcFirstLastPara="1" vertOverflow="ellipsis" vert="horz" wrap="square" anchor="ctr" anchorCtr="1"/>
              <a:lstStyle/>
              <a:p>
                <a:pPr>
                  <a:defRPr sz="900" b="0" i="0" u="none" strike="noStrike" kern="1200" baseline="0">
                    <a:solidFill>
                      <a:schemeClr val="tx1"/>
                    </a:solidFill>
                    <a:latin typeface="+mn-lt"/>
                    <a:ea typeface="+mn-ea"/>
                    <a:cs typeface="+mn-cs"/>
                  </a:defRPr>
                </a:pPr>
                <a:endParaRPr lang="en-US"/>
              </a:p>
            </c:txPr>
            <c:dLblPos val="bestFit"/>
            <c:showLegendKey val="0"/>
            <c:showVal val="1"/>
            <c:showCatName val="0"/>
            <c:showSerName val="0"/>
            <c:showPercent val="0"/>
            <c:showBubbleSize val="0"/>
            <c:showLeaderLines val="1"/>
            <c:leaderLines>
              <c:spPr>
                <a:ln w="9525" cap="flat" cmpd="sng" algn="ctr">
                  <a:solidFill>
                    <a:schemeClr val="tx1">
                      <a:lumMod val="35000"/>
                      <a:lumOff val="65000"/>
                    </a:schemeClr>
                  </a:solidFill>
                  <a:round/>
                </a:ln>
                <a:effectLst/>
              </c:spPr>
            </c:leaderLines>
            <c:extLst>
              <c:ext xmlns:c15="http://schemas.microsoft.com/office/drawing/2012/chart" uri="{CE6537A1-D6FC-4f65-9D91-7224C49458BB}"/>
            </c:extLst>
          </c:dLbls>
          <c:cat>
            <c:strRef>
              <c:f>_Backend_Pivots!$P$2:$P$10</c:f>
              <c:strCache>
                <c:ptCount val="8"/>
                <c:pt idx="0">
                  <c:v>Rent</c:v>
                </c:pt>
                <c:pt idx="1">
                  <c:v>Staff Salary</c:v>
                </c:pt>
                <c:pt idx="2">
                  <c:v>Electricity</c:v>
                </c:pt>
                <c:pt idx="3">
                  <c:v>Transportation</c:v>
                </c:pt>
                <c:pt idx="4">
                  <c:v>Transport</c:v>
                </c:pt>
                <c:pt idx="5">
                  <c:v>Internet</c:v>
                </c:pt>
                <c:pt idx="6">
                  <c:v>Maintenance</c:v>
                </c:pt>
                <c:pt idx="7">
                  <c:v>Packaging</c:v>
                </c:pt>
              </c:strCache>
            </c:strRef>
          </c:cat>
          <c:val>
            <c:numRef>
              <c:f>_Backend_Pivots!$Q$2:$Q$10</c:f>
              <c:numCache>
                <c:formatCode>0.00%</c:formatCode>
                <c:ptCount val="8"/>
                <c:pt idx="0">
                  <c:v>0.44642857142857145</c:v>
                </c:pt>
                <c:pt idx="1">
                  <c:v>0.26785714285714285</c:v>
                </c:pt>
                <c:pt idx="2">
                  <c:v>0.10714285714285714</c:v>
                </c:pt>
                <c:pt idx="3">
                  <c:v>4.4642857142857144E-2</c:v>
                </c:pt>
                <c:pt idx="4">
                  <c:v>4.4642857142857144E-2</c:v>
                </c:pt>
                <c:pt idx="5">
                  <c:v>3.5714285714285712E-2</c:v>
                </c:pt>
                <c:pt idx="6">
                  <c:v>3.125E-2</c:v>
                </c:pt>
                <c:pt idx="7">
                  <c:v>2.2321428571428572E-2</c:v>
                </c:pt>
              </c:numCache>
            </c:numRef>
          </c:val>
          <c:extLst>
            <c:ext xmlns:c16="http://schemas.microsoft.com/office/drawing/2014/chart" uri="{C3380CC4-5D6E-409C-BE32-E72D297353CC}">
              <c16:uniqueId val="{00000011-83FB-4DFE-A0CE-CD8E7994F5E8}"/>
            </c:ext>
          </c:extLst>
        </c:ser>
        <c:dLbls>
          <c:dLblPos val="bestFit"/>
          <c:showLegendKey val="0"/>
          <c:showVal val="1"/>
          <c:showCatName val="0"/>
          <c:showSerName val="0"/>
          <c:showPercent val="0"/>
          <c:showBubbleSize val="0"/>
          <c:showLeaderLines val="1"/>
        </c:dLbls>
        <c:firstSliceAng val="0"/>
      </c:pieChart>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solidFill>
              <a:latin typeface="+mn-lt"/>
              <a:ea typeface="+mn-ea"/>
              <a:cs typeface="+mn-cs"/>
            </a:defRPr>
          </a:pPr>
          <a:endParaRPr lang="en-US"/>
        </a:p>
      </c:txPr>
    </c:legend>
    <c:plotVisOnly val="1"/>
    <c:dispBlanksAs val="gap"/>
    <c:extLst>
      <c:ext xmlns:c16r3="http://schemas.microsoft.com/office/drawing/2017/03/chart" uri="{56B9EC1D-385E-4148-901F-78D8002777C0}">
        <c16r3:dataDisplayOptions16>
          <c16r3:dispNaAsBlank val="1"/>
        </c16r3:dataDisplayOptions16>
      </c:ext>
    </c:extLst>
    <c:showDLblsOverMax val="0"/>
  </c:chart>
  <c:spPr>
    <a:noFill/>
    <a:ln w="9525" cap="flat" cmpd="sng" algn="ctr">
      <a:noFill/>
      <a:round/>
    </a:ln>
    <a:effectLst/>
  </c:spPr>
  <c:txPr>
    <a:bodyPr/>
    <a:lstStyle/>
    <a:p>
      <a:pPr>
        <a:defRPr>
          <a:solidFill>
            <a:schemeClr val="tx1"/>
          </a:solidFill>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4.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[Business_Sales_Tracker.xlsx]_Backend_Pivots!PivotTable1</c:name>
    <c:fmtId val="3"/>
  </c:pivotSource>
  <c:chart>
    <c:title>
      <c:tx>
        <c:rich>
          <a:bodyPr rot="0" spcFirstLastPara="1" vertOverflow="ellipsis" vert="horz" wrap="square" anchor="ctr" anchorCtr="1"/>
          <a:lstStyle/>
          <a:p>
            <a:pPr>
              <a:defRPr sz="1400" b="0" i="0" u="none" strike="noStrike" kern="1200" spc="0" baseline="0">
                <a:solidFill>
                  <a:schemeClr val="tx1"/>
                </a:solidFill>
                <a:latin typeface="+mn-lt"/>
                <a:ea typeface="+mn-ea"/>
                <a:cs typeface="+mn-cs"/>
              </a:defRPr>
            </a:pPr>
            <a:r>
              <a:rPr lang="en-US"/>
              <a:t>Low Stock Product</a:t>
            </a:r>
          </a:p>
        </c:rich>
      </c:tx>
      <c:layout>
        <c:manualLayout>
          <c:xMode val="edge"/>
          <c:yMode val="edge"/>
          <c:x val="0.25293624011284305"/>
          <c:y val="1.0355989166167555E-2"/>
        </c:manualLayout>
      </c:layout>
      <c:overlay val="0"/>
      <c:spPr>
        <a:noFill/>
        <a:ln>
          <a:noFill/>
        </a:ln>
        <a:effectLst/>
      </c:spPr>
      <c:txPr>
        <a:bodyPr rot="0" spcFirstLastPara="1" vertOverflow="ellipsis" vert="horz" wrap="square" anchor="ctr" anchorCtr="1"/>
        <a:lstStyle/>
        <a:p>
          <a:pPr>
            <a:defRPr sz="1400" b="0" i="0" u="none" strike="noStrike" kern="1200" spc="0" baseline="0">
              <a:solidFill>
                <a:schemeClr val="tx1"/>
              </a:solidFill>
              <a:latin typeface="+mn-lt"/>
              <a:ea typeface="+mn-ea"/>
              <a:cs typeface="+mn-cs"/>
            </a:defRPr>
          </a:pPr>
          <a:endParaRPr lang="en-US"/>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anchor="ctr" anchorCtr="1"/>
            <a:lstStyle/>
            <a:p>
              <a:pPr>
                <a:defRPr sz="900" b="0" i="0" u="none" strike="noStrike" kern="1200" baseline="0">
                  <a:solidFill>
                    <a:schemeClr val="tx1"/>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anchor="ctr" anchorCtr="1"/>
            <a:lstStyle/>
            <a:p>
              <a:pPr>
                <a:defRPr sz="900" b="0" i="0" u="none" strike="noStrike" kern="1200" baseline="0">
                  <a:solidFill>
                    <a:schemeClr val="tx1"/>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strRef>
              <c:f>_Backend_Pivots!$W$5</c:f>
              <c:strCache>
                <c:ptCount val="1"/>
                <c:pt idx="0">
                  <c:v>Max of StockBalance</c:v>
                </c:pt>
              </c:strCache>
            </c:strRef>
          </c:tx>
          <c:spPr>
            <a:solidFill>
              <a:schemeClr val="accent1"/>
            </a:solidFill>
            <a:ln>
              <a:noFill/>
            </a:ln>
            <a:effectLst/>
          </c:spPr>
          <c:invertIfNegative val="0"/>
          <c:cat>
            <c:strRef>
              <c:f>_Backend_Pivots!$V$6:$V$8</c:f>
              <c:strCache>
                <c:ptCount val="2"/>
                <c:pt idx="0">
                  <c:v>Bottle Water</c:v>
                </c:pt>
                <c:pt idx="1">
                  <c:v>Energy Drink</c:v>
                </c:pt>
              </c:strCache>
            </c:strRef>
          </c:cat>
          <c:val>
            <c:numRef>
              <c:f>_Backend_Pivots!$W$6:$W$8</c:f>
              <c:numCache>
                <c:formatCode>General</c:formatCode>
                <c:ptCount val="2"/>
                <c:pt idx="0">
                  <c:v>40</c:v>
                </c:pt>
                <c:pt idx="1">
                  <c:v>5</c:v>
                </c:pt>
              </c:numCache>
            </c:numRef>
          </c:val>
          <c:extLst>
            <c:ext xmlns:c16="http://schemas.microsoft.com/office/drawing/2014/chart" uri="{C3380CC4-5D6E-409C-BE32-E72D297353CC}">
              <c16:uniqueId val="{00000002-C101-46FA-8C31-33A71762B009}"/>
            </c:ext>
          </c:extLst>
        </c:ser>
        <c:ser>
          <c:idx val="1"/>
          <c:order val="1"/>
          <c:tx>
            <c:strRef>
              <c:f>_Backend_Pivots!$X$5</c:f>
              <c:strCache>
                <c:ptCount val="1"/>
                <c:pt idx="0">
                  <c:v>Max of ReorderLevel</c:v>
                </c:pt>
              </c:strCache>
            </c:strRef>
          </c:tx>
          <c:spPr>
            <a:solidFill>
              <a:schemeClr val="accent2"/>
            </a:solidFill>
            <a:ln>
              <a:noFill/>
            </a:ln>
            <a:effectLst/>
          </c:spPr>
          <c:invertIfNegative val="0"/>
          <c:cat>
            <c:strRef>
              <c:f>_Backend_Pivots!$V$6:$V$8</c:f>
              <c:strCache>
                <c:ptCount val="2"/>
                <c:pt idx="0">
                  <c:v>Bottle Water</c:v>
                </c:pt>
                <c:pt idx="1">
                  <c:v>Energy Drink</c:v>
                </c:pt>
              </c:strCache>
            </c:strRef>
          </c:cat>
          <c:val>
            <c:numRef>
              <c:f>_Backend_Pivots!$X$6:$X$8</c:f>
              <c:numCache>
                <c:formatCode>General</c:formatCode>
                <c:ptCount val="2"/>
                <c:pt idx="0">
                  <c:v>50</c:v>
                </c:pt>
                <c:pt idx="1">
                  <c:v>23</c:v>
                </c:pt>
              </c:numCache>
            </c:numRef>
          </c:val>
          <c:extLst>
            <c:ext xmlns:c16="http://schemas.microsoft.com/office/drawing/2014/chart" uri="{C3380CC4-5D6E-409C-BE32-E72D297353CC}">
              <c16:uniqueId val="{00000003-C101-46FA-8C31-33A71762B009}"/>
            </c:ext>
          </c:extLst>
        </c:ser>
        <c:dLbls>
          <c:showLegendKey val="0"/>
          <c:showVal val="0"/>
          <c:showCatName val="0"/>
          <c:showSerName val="0"/>
          <c:showPercent val="0"/>
          <c:showBubbleSize val="0"/>
        </c:dLbls>
        <c:gapWidth val="219"/>
        <c:overlap val="-27"/>
        <c:axId val="1837381791"/>
        <c:axId val="1837378911"/>
      </c:barChart>
      <c:catAx>
        <c:axId val="1837381791"/>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solidFill>
                <a:latin typeface="+mn-lt"/>
                <a:ea typeface="+mn-ea"/>
                <a:cs typeface="+mn-cs"/>
              </a:defRPr>
            </a:pPr>
            <a:endParaRPr lang="en-US"/>
          </a:p>
        </c:txPr>
        <c:crossAx val="1837378911"/>
        <c:crosses val="autoZero"/>
        <c:auto val="1"/>
        <c:lblAlgn val="ctr"/>
        <c:lblOffset val="100"/>
        <c:noMultiLvlLbl val="0"/>
      </c:catAx>
      <c:valAx>
        <c:axId val="1837378911"/>
        <c:scaling>
          <c:orientation val="minMax"/>
        </c:scaling>
        <c:delete val="0"/>
        <c:axPos val="l"/>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solidFill>
                <a:latin typeface="+mn-lt"/>
                <a:ea typeface="+mn-ea"/>
                <a:cs typeface="+mn-cs"/>
              </a:defRPr>
            </a:pPr>
            <a:endParaRPr lang="en-US"/>
          </a:p>
        </c:txPr>
        <c:crossAx val="1837381791"/>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solidFill>
              <a:latin typeface="+mn-lt"/>
              <a:ea typeface="+mn-ea"/>
              <a:cs typeface="+mn-cs"/>
            </a:defRPr>
          </a:pPr>
          <a:endParaRPr lang="en-US"/>
        </a:p>
      </c:txPr>
    </c:legend>
    <c:plotVisOnly val="1"/>
    <c:dispBlanksAs val="gap"/>
    <c:extLst>
      <c:ext xmlns:c16r3="http://schemas.microsoft.com/office/drawing/2017/03/chart" uri="{56B9EC1D-385E-4148-901F-78D8002777C0}">
        <c16r3:dataDisplayOptions16>
          <c16r3:dispNaAsBlank val="1"/>
        </c16r3:dataDisplayOptions16>
      </c:ext>
    </c:extLst>
    <c:showDLblsOverMax val="0"/>
  </c:chart>
  <c:spPr>
    <a:noFill/>
    <a:ln w="9525" cap="flat" cmpd="sng" algn="ctr">
      <a:noFill/>
      <a:round/>
    </a:ln>
    <a:effectLst/>
  </c:spPr>
  <c:txPr>
    <a:bodyPr/>
    <a:lstStyle/>
    <a:p>
      <a:pPr>
        <a:defRPr>
          <a:solidFill>
            <a:schemeClr val="tx1"/>
          </a:solidFill>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olors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2.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3.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4.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style1.xml><?xml version="1.0" encoding="utf-8"?>
<cs:chartStyle xmlns:cs="http://schemas.microsoft.com/office/drawing/2012/chartStyle" xmlns:a="http://schemas.openxmlformats.org/drawingml/2006/main" id="22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solidFill>
        <a:schemeClr val="phClr"/>
      </a:solidFill>
    </cs:spPr>
  </cs:dataPoint>
  <cs:dataPoint3D>
    <cs:lnRef idx="0"/>
    <cs:fillRef idx="1">
      <cs:styleClr val="auto"/>
    </cs:fillRef>
    <cs:effectRef idx="0"/>
    <cs:fontRef idx="minor">
      <a:schemeClr val="tx1"/>
    </cs:fontRef>
    <cs:spPr>
      <a:solidFill>
        <a:schemeClr val="phClr"/>
      </a:solidFill>
    </cs:spPr>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solidFill>
        <a:schemeClr val="phClr"/>
      </a:solidFill>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2.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3.xml><?xml version="1.0" encoding="utf-8"?>
<cs:chartStyle xmlns:cs="http://schemas.microsoft.com/office/drawing/2012/chartStyle" xmlns:a="http://schemas.openxmlformats.org/drawingml/2006/main" id="25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ln w="19050">
        <a:solidFill>
          <a:schemeClr val="lt1"/>
        </a:solidFill>
      </a:ln>
    </cs:spPr>
  </cs:dataPoint>
  <cs:dataPoint3D>
    <cs:lnRef idx="0"/>
    <cs:fillRef idx="1">
      <cs:styleClr val="auto"/>
    </cs:fillRef>
    <cs:effectRef idx="0"/>
    <cs:fontRef idx="minor">
      <a:schemeClr val="tx1"/>
    </cs:fontRef>
    <cs:spPr>
      <a:ln w="25400">
        <a:solidFill>
          <a:schemeClr val="lt1"/>
        </a:solidFill>
      </a:ln>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4.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drawings/_rels/drawing1.xml.rels><?xml version="1.0" encoding="UTF-8" standalone="yes"?>
<Relationships xmlns="http://schemas.openxmlformats.org/package/2006/relationships"><Relationship Id="rId3" Type="http://schemas.openxmlformats.org/officeDocument/2006/relationships/chart" Target="../charts/chart3.xml"/><Relationship Id="rId2" Type="http://schemas.openxmlformats.org/officeDocument/2006/relationships/chart" Target="../charts/chart2.xml"/><Relationship Id="rId1" Type="http://schemas.openxmlformats.org/officeDocument/2006/relationships/chart" Target="../charts/chart1.xml"/><Relationship Id="rId4" Type="http://schemas.openxmlformats.org/officeDocument/2006/relationships/chart" Target="../charts/chart4.xml"/></Relationships>
</file>

<file path=xl/drawings/drawing1.xml><?xml version="1.0" encoding="utf-8"?>
<xdr:wsDr xmlns:xdr="http://schemas.openxmlformats.org/drawingml/2006/spreadsheetDrawing" xmlns:a="http://schemas.openxmlformats.org/drawingml/2006/main">
  <xdr:twoCellAnchor>
    <xdr:from>
      <xdr:col>3</xdr:col>
      <xdr:colOff>428625</xdr:colOff>
      <xdr:row>0</xdr:row>
      <xdr:rowOff>66675</xdr:rowOff>
    </xdr:from>
    <xdr:to>
      <xdr:col>7</xdr:col>
      <xdr:colOff>142875</xdr:colOff>
      <xdr:row>1</xdr:row>
      <xdr:rowOff>219075</xdr:rowOff>
    </xdr:to>
    <xdr:sp macro="" textlink="">
      <xdr:nvSpPr>
        <xdr:cNvPr id="3" name="Rectangle: Rounded Corners 2">
          <a:extLst>
            <a:ext uri="{FF2B5EF4-FFF2-40B4-BE49-F238E27FC236}">
              <a16:creationId xmlns:a16="http://schemas.microsoft.com/office/drawing/2014/main" id="{12D648D4-59C9-7D74-1866-36CFCAD5AF17}"/>
            </a:ext>
          </a:extLst>
        </xdr:cNvPr>
        <xdr:cNvSpPr/>
      </xdr:nvSpPr>
      <xdr:spPr>
        <a:xfrm>
          <a:off x="4171950" y="66675"/>
          <a:ext cx="4705350" cy="504825"/>
        </a:xfrm>
        <a:prstGeom prst="roundRect">
          <a:avLst/>
        </a:prstGeom>
        <a:solidFill>
          <a:schemeClr val="accent6">
            <a:lumMod val="40000"/>
            <a:lumOff val="60000"/>
          </a:schemeClr>
        </a:solidFill>
        <a:ln>
          <a:prstDash val="sysDot"/>
        </a:ln>
        <a:effectLst>
          <a:outerShdw blurRad="76200" dir="13500000" sy="23000" kx="1200000" algn="br" rotWithShape="0">
            <a:prstClr val="black">
              <a:alpha val="20000"/>
            </a:prstClr>
          </a:outerShdw>
        </a:effectLst>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r>
            <a:rPr lang="en-US" sz="2000" b="1">
              <a:solidFill>
                <a:srgbClr val="180008"/>
              </a:solidFill>
            </a:rPr>
            <a:t>Business Sales &amp; Performance Dashboard</a:t>
          </a:r>
          <a:endParaRPr lang="en-US" sz="2000" b="1">
            <a:solidFill>
              <a:srgbClr val="180008"/>
            </a:solidFill>
            <a:latin typeface="+mj-lt"/>
          </a:endParaRPr>
        </a:p>
      </xdr:txBody>
    </xdr:sp>
    <xdr:clientData/>
  </xdr:twoCellAnchor>
  <xdr:twoCellAnchor>
    <xdr:from>
      <xdr:col>1</xdr:col>
      <xdr:colOff>133350</xdr:colOff>
      <xdr:row>2</xdr:row>
      <xdr:rowOff>9525</xdr:rowOff>
    </xdr:from>
    <xdr:to>
      <xdr:col>9</xdr:col>
      <xdr:colOff>1219200</xdr:colOff>
      <xdr:row>6</xdr:row>
      <xdr:rowOff>66675</xdr:rowOff>
    </xdr:to>
    <xdr:sp macro="" textlink="">
      <xdr:nvSpPr>
        <xdr:cNvPr id="5" name="Rectangle: Rounded Corners 4">
          <a:extLst>
            <a:ext uri="{FF2B5EF4-FFF2-40B4-BE49-F238E27FC236}">
              <a16:creationId xmlns:a16="http://schemas.microsoft.com/office/drawing/2014/main" id="{B1C6A6F2-74DA-464D-A56E-D6BAFB479CF8}"/>
            </a:ext>
          </a:extLst>
        </xdr:cNvPr>
        <xdr:cNvSpPr/>
      </xdr:nvSpPr>
      <xdr:spPr>
        <a:xfrm>
          <a:off x="1381125" y="714375"/>
          <a:ext cx="11068050" cy="1466850"/>
        </a:xfrm>
        <a:prstGeom prst="roundRect">
          <a:avLst/>
        </a:prstGeom>
        <a:solidFill>
          <a:schemeClr val="accent6">
            <a:lumMod val="40000"/>
            <a:lumOff val="60000"/>
          </a:schemeClr>
        </a:solidFill>
        <a:effectLst>
          <a:softEdge rad="12700"/>
        </a:effectLst>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clientData/>
  </xdr:twoCellAnchor>
  <xdr:twoCellAnchor>
    <xdr:from>
      <xdr:col>1</xdr:col>
      <xdr:colOff>142874</xdr:colOff>
      <xdr:row>2</xdr:row>
      <xdr:rowOff>19050</xdr:rowOff>
    </xdr:from>
    <xdr:to>
      <xdr:col>2</xdr:col>
      <xdr:colOff>752474</xdr:colOff>
      <xdr:row>6</xdr:row>
      <xdr:rowOff>57150</xdr:rowOff>
    </xdr:to>
    <xdr:grpSp>
      <xdr:nvGrpSpPr>
        <xdr:cNvPr id="60" name="Group 59">
          <a:extLst>
            <a:ext uri="{FF2B5EF4-FFF2-40B4-BE49-F238E27FC236}">
              <a16:creationId xmlns:a16="http://schemas.microsoft.com/office/drawing/2014/main" id="{C6E3152E-426C-3530-C0D3-570251A92CD3}"/>
            </a:ext>
          </a:extLst>
        </xdr:cNvPr>
        <xdr:cNvGrpSpPr/>
      </xdr:nvGrpSpPr>
      <xdr:grpSpPr>
        <a:xfrm>
          <a:off x="1390649" y="723900"/>
          <a:ext cx="1857375" cy="1447800"/>
          <a:chOff x="1390649" y="723900"/>
          <a:chExt cx="1857375" cy="1447800"/>
        </a:xfrm>
      </xdr:grpSpPr>
      <xdr:sp macro="" textlink="$C$21">
        <xdr:nvSpPr>
          <xdr:cNvPr id="6" name="Rectangle: Rounded Corners 5">
            <a:extLst>
              <a:ext uri="{FF2B5EF4-FFF2-40B4-BE49-F238E27FC236}">
                <a16:creationId xmlns:a16="http://schemas.microsoft.com/office/drawing/2014/main" id="{1396B610-1E94-4F59-B972-5F08F2A3C94B}"/>
              </a:ext>
            </a:extLst>
          </xdr:cNvPr>
          <xdr:cNvSpPr/>
        </xdr:nvSpPr>
        <xdr:spPr>
          <a:xfrm>
            <a:off x="1390649" y="723900"/>
            <a:ext cx="1857375" cy="1447800"/>
          </a:xfrm>
          <a:prstGeom prst="roundRect">
            <a:avLst/>
          </a:prstGeom>
          <a:solidFill>
            <a:schemeClr val="accent6">
              <a:lumMod val="40000"/>
              <a:lumOff val="60000"/>
            </a:schemeClr>
          </a:solidFill>
          <a:effectLst>
            <a:softEdge rad="12700"/>
          </a:effectLst>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ctr"/>
          <a:lstStyle/>
          <a:p>
            <a:pPr algn="ctr"/>
            <a:fld id="{D02B69DF-D85D-4F20-B1C4-F87243DFED33}" type="TxLink">
              <a:rPr lang="en-US" sz="3200" b="1" i="0" u="none" strike="noStrike">
                <a:solidFill>
                  <a:schemeClr val="tx1">
                    <a:lumMod val="85000"/>
                    <a:lumOff val="15000"/>
                  </a:schemeClr>
                </a:solidFill>
                <a:latin typeface="Aptos Narrow"/>
              </a:rPr>
              <a:pPr algn="ctr"/>
              <a:t> ₦38,950 </a:t>
            </a:fld>
            <a:endParaRPr lang="en-US" sz="3200" b="1">
              <a:solidFill>
                <a:schemeClr val="tx1">
                  <a:lumMod val="85000"/>
                  <a:lumOff val="15000"/>
                </a:schemeClr>
              </a:solidFill>
            </a:endParaRPr>
          </a:p>
        </xdr:txBody>
      </xdr:sp>
      <xdr:sp macro="" textlink="">
        <xdr:nvSpPr>
          <xdr:cNvPr id="45" name="TextBox 44">
            <a:extLst>
              <a:ext uri="{FF2B5EF4-FFF2-40B4-BE49-F238E27FC236}">
                <a16:creationId xmlns:a16="http://schemas.microsoft.com/office/drawing/2014/main" id="{6A9AB963-0131-ED12-B675-165E7723AF25}"/>
              </a:ext>
            </a:extLst>
          </xdr:cNvPr>
          <xdr:cNvSpPr txBox="1"/>
        </xdr:nvSpPr>
        <xdr:spPr>
          <a:xfrm>
            <a:off x="1438275" y="857250"/>
            <a:ext cx="1743075" cy="390525"/>
          </a:xfrm>
          <a:custGeom>
            <a:avLst/>
            <a:gdLst>
              <a:gd name="connsiteX0" fmla="*/ 0 w 1743075"/>
              <a:gd name="connsiteY0" fmla="*/ 0 h 390525"/>
              <a:gd name="connsiteX1" fmla="*/ 546163 w 1743075"/>
              <a:gd name="connsiteY1" fmla="*/ 0 h 390525"/>
              <a:gd name="connsiteX2" fmla="*/ 1092327 w 1743075"/>
              <a:gd name="connsiteY2" fmla="*/ 0 h 390525"/>
              <a:gd name="connsiteX3" fmla="*/ 1743075 w 1743075"/>
              <a:gd name="connsiteY3" fmla="*/ 0 h 390525"/>
              <a:gd name="connsiteX4" fmla="*/ 1743075 w 1743075"/>
              <a:gd name="connsiteY4" fmla="*/ 390525 h 390525"/>
              <a:gd name="connsiteX5" fmla="*/ 1179481 w 1743075"/>
              <a:gd name="connsiteY5" fmla="*/ 390525 h 390525"/>
              <a:gd name="connsiteX6" fmla="*/ 615887 w 1743075"/>
              <a:gd name="connsiteY6" fmla="*/ 390525 h 390525"/>
              <a:gd name="connsiteX7" fmla="*/ 0 w 1743075"/>
              <a:gd name="connsiteY7" fmla="*/ 390525 h 390525"/>
              <a:gd name="connsiteX8" fmla="*/ 0 w 1743075"/>
              <a:gd name="connsiteY8" fmla="*/ 0 h 390525"/>
            </a:gdLst>
            <a:ahLst/>
            <a:cxnLst>
              <a:cxn ang="0">
                <a:pos x="connsiteX0" y="connsiteY0"/>
              </a:cxn>
              <a:cxn ang="0">
                <a:pos x="connsiteX1" y="connsiteY1"/>
              </a:cxn>
              <a:cxn ang="0">
                <a:pos x="connsiteX2" y="connsiteY2"/>
              </a:cxn>
              <a:cxn ang="0">
                <a:pos x="connsiteX3" y="connsiteY3"/>
              </a:cxn>
              <a:cxn ang="0">
                <a:pos x="connsiteX4" y="connsiteY4"/>
              </a:cxn>
              <a:cxn ang="0">
                <a:pos x="connsiteX5" y="connsiteY5"/>
              </a:cxn>
              <a:cxn ang="0">
                <a:pos x="connsiteX6" y="connsiteY6"/>
              </a:cxn>
              <a:cxn ang="0">
                <a:pos x="connsiteX7" y="connsiteY7"/>
              </a:cxn>
              <a:cxn ang="0">
                <a:pos x="connsiteX8" y="connsiteY8"/>
              </a:cxn>
            </a:cxnLst>
            <a:rect l="l" t="t" r="r" b="b"/>
            <a:pathLst>
              <a:path w="1743075" h="390525" extrusionOk="0">
                <a:moveTo>
                  <a:pt x="0" y="0"/>
                </a:moveTo>
                <a:cubicBezTo>
                  <a:pt x="207033" y="-51748"/>
                  <a:pt x="295303" y="39579"/>
                  <a:pt x="546163" y="0"/>
                </a:cubicBezTo>
                <a:cubicBezTo>
                  <a:pt x="797023" y="-39579"/>
                  <a:pt x="879794" y="40201"/>
                  <a:pt x="1092327" y="0"/>
                </a:cubicBezTo>
                <a:cubicBezTo>
                  <a:pt x="1304860" y="-40201"/>
                  <a:pt x="1462785" y="60863"/>
                  <a:pt x="1743075" y="0"/>
                </a:cubicBezTo>
                <a:cubicBezTo>
                  <a:pt x="1761924" y="111298"/>
                  <a:pt x="1705222" y="294270"/>
                  <a:pt x="1743075" y="390525"/>
                </a:cubicBezTo>
                <a:cubicBezTo>
                  <a:pt x="1566628" y="417325"/>
                  <a:pt x="1351774" y="350232"/>
                  <a:pt x="1179481" y="390525"/>
                </a:cubicBezTo>
                <a:cubicBezTo>
                  <a:pt x="1007188" y="430818"/>
                  <a:pt x="761724" y="339699"/>
                  <a:pt x="615887" y="390525"/>
                </a:cubicBezTo>
                <a:cubicBezTo>
                  <a:pt x="470050" y="441351"/>
                  <a:pt x="139617" y="349665"/>
                  <a:pt x="0" y="390525"/>
                </a:cubicBezTo>
                <a:cubicBezTo>
                  <a:pt x="-31231" y="283670"/>
                  <a:pt x="40190" y="103205"/>
                  <a:pt x="0" y="0"/>
                </a:cubicBezTo>
                <a:close/>
              </a:path>
            </a:pathLst>
          </a:custGeom>
          <a:noFill/>
          <a:ln w="9525" cmpd="sng">
            <a:solidFill>
              <a:schemeClr val="lt1">
                <a:shade val="50000"/>
              </a:schemeClr>
            </a:solidFill>
            <a:extLst>
              <a:ext uri="{C807C97D-BFC1-408E-A445-0C87EB9F89A2}">
                <ask:lineSketchStyleProps xmlns:ask="http://schemas.microsoft.com/office/drawing/2018/sketchyshapes" sd="2755303286">
                  <a:prstGeom prst="rect">
                    <a:avLst/>
                  </a:prstGeom>
                  <ask:type>
                    <ask:lineSketchScribble/>
                  </ask:type>
                </ask:lineSketchStyleProps>
              </a:ext>
            </a:extLst>
          </a:ln>
          <a:effectLst>
            <a:outerShdw blurRad="76200" dist="12700" dir="8100000" sy="-23000" kx="800400" algn="br" rotWithShape="0">
              <a:prstClr val="black">
                <a:alpha val="20000"/>
              </a:prstClr>
            </a:outerShdw>
            <a:reflection blurRad="6350" stA="52000" endA="300" endPos="35000" dir="5400000" sy="-100000" algn="bl" rotWithShape="0"/>
          </a:effectLst>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algn="ctr"/>
            <a:r>
              <a:rPr lang="en-US" sz="1800" b="1"/>
              <a:t>TOTAL</a:t>
            </a:r>
            <a:r>
              <a:rPr lang="en-US" sz="1800" b="1" baseline="0"/>
              <a:t> SALES</a:t>
            </a:r>
            <a:endParaRPr lang="en-US" sz="1800" b="1"/>
          </a:p>
        </xdr:txBody>
      </xdr:sp>
    </xdr:grpSp>
    <xdr:clientData/>
  </xdr:twoCellAnchor>
  <xdr:twoCellAnchor>
    <xdr:from>
      <xdr:col>2</xdr:col>
      <xdr:colOff>1171574</xdr:colOff>
      <xdr:row>2</xdr:row>
      <xdr:rowOff>19050</xdr:rowOff>
    </xdr:from>
    <xdr:to>
      <xdr:col>4</xdr:col>
      <xdr:colOff>533399</xdr:colOff>
      <xdr:row>6</xdr:row>
      <xdr:rowOff>57150</xdr:rowOff>
    </xdr:to>
    <xdr:grpSp>
      <xdr:nvGrpSpPr>
        <xdr:cNvPr id="59" name="Group 58">
          <a:extLst>
            <a:ext uri="{FF2B5EF4-FFF2-40B4-BE49-F238E27FC236}">
              <a16:creationId xmlns:a16="http://schemas.microsoft.com/office/drawing/2014/main" id="{E891F295-B62A-2553-7D28-32F92EE2735C}"/>
            </a:ext>
          </a:extLst>
        </xdr:cNvPr>
        <xdr:cNvGrpSpPr/>
      </xdr:nvGrpSpPr>
      <xdr:grpSpPr>
        <a:xfrm>
          <a:off x="3667124" y="723900"/>
          <a:ext cx="1857375" cy="1447800"/>
          <a:chOff x="3476624" y="723900"/>
          <a:chExt cx="1857375" cy="1447800"/>
        </a:xfrm>
      </xdr:grpSpPr>
      <xdr:sp macro="" textlink="$D$21">
        <xdr:nvSpPr>
          <xdr:cNvPr id="47" name="Rectangle: Rounded Corners 46">
            <a:extLst>
              <a:ext uri="{FF2B5EF4-FFF2-40B4-BE49-F238E27FC236}">
                <a16:creationId xmlns:a16="http://schemas.microsoft.com/office/drawing/2014/main" id="{CEC4E309-C2EB-4BCA-AC61-EEFA1905D0DA}"/>
              </a:ext>
            </a:extLst>
          </xdr:cNvPr>
          <xdr:cNvSpPr/>
        </xdr:nvSpPr>
        <xdr:spPr>
          <a:xfrm>
            <a:off x="3476624" y="723900"/>
            <a:ext cx="1857375" cy="1447800"/>
          </a:xfrm>
          <a:prstGeom prst="roundRect">
            <a:avLst/>
          </a:prstGeom>
          <a:solidFill>
            <a:schemeClr val="accent6">
              <a:lumMod val="40000"/>
              <a:lumOff val="60000"/>
            </a:schemeClr>
          </a:solidFill>
          <a:effectLst>
            <a:softEdge rad="12700"/>
          </a:effectLst>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ctr"/>
          <a:lstStyle/>
          <a:p>
            <a:pPr algn="ctr"/>
            <a:fld id="{B6D9C40C-4155-44B2-A000-77CF7165D415}" type="TxLink">
              <a:rPr lang="en-US" sz="2800" b="1" i="0" u="none" strike="noStrike">
                <a:solidFill>
                  <a:schemeClr val="tx1">
                    <a:lumMod val="85000"/>
                    <a:lumOff val="15000"/>
                  </a:schemeClr>
                </a:solidFill>
                <a:latin typeface="Aptos Narrow"/>
              </a:rPr>
              <a:pPr algn="ctr"/>
              <a:t> ₦112,000 </a:t>
            </a:fld>
            <a:endParaRPr lang="en-US" sz="2800" b="1">
              <a:solidFill>
                <a:schemeClr val="tx1">
                  <a:lumMod val="85000"/>
                  <a:lumOff val="15000"/>
                </a:schemeClr>
              </a:solidFill>
            </a:endParaRPr>
          </a:p>
        </xdr:txBody>
      </xdr:sp>
      <xdr:sp macro="" textlink="">
        <xdr:nvSpPr>
          <xdr:cNvPr id="48" name="TextBox 47">
            <a:extLst>
              <a:ext uri="{FF2B5EF4-FFF2-40B4-BE49-F238E27FC236}">
                <a16:creationId xmlns:a16="http://schemas.microsoft.com/office/drawing/2014/main" id="{02410EC0-72AA-422B-9BF1-4A4CA9CFAF87}"/>
              </a:ext>
            </a:extLst>
          </xdr:cNvPr>
          <xdr:cNvSpPr txBox="1"/>
        </xdr:nvSpPr>
        <xdr:spPr>
          <a:xfrm>
            <a:off x="3524250" y="828675"/>
            <a:ext cx="1743075" cy="390525"/>
          </a:xfrm>
          <a:custGeom>
            <a:avLst/>
            <a:gdLst>
              <a:gd name="connsiteX0" fmla="*/ 0 w 1743075"/>
              <a:gd name="connsiteY0" fmla="*/ 0 h 390525"/>
              <a:gd name="connsiteX1" fmla="*/ 546163 w 1743075"/>
              <a:gd name="connsiteY1" fmla="*/ 0 h 390525"/>
              <a:gd name="connsiteX2" fmla="*/ 1092327 w 1743075"/>
              <a:gd name="connsiteY2" fmla="*/ 0 h 390525"/>
              <a:gd name="connsiteX3" fmla="*/ 1743075 w 1743075"/>
              <a:gd name="connsiteY3" fmla="*/ 0 h 390525"/>
              <a:gd name="connsiteX4" fmla="*/ 1743075 w 1743075"/>
              <a:gd name="connsiteY4" fmla="*/ 390525 h 390525"/>
              <a:gd name="connsiteX5" fmla="*/ 1179481 w 1743075"/>
              <a:gd name="connsiteY5" fmla="*/ 390525 h 390525"/>
              <a:gd name="connsiteX6" fmla="*/ 615887 w 1743075"/>
              <a:gd name="connsiteY6" fmla="*/ 390525 h 390525"/>
              <a:gd name="connsiteX7" fmla="*/ 0 w 1743075"/>
              <a:gd name="connsiteY7" fmla="*/ 390525 h 390525"/>
              <a:gd name="connsiteX8" fmla="*/ 0 w 1743075"/>
              <a:gd name="connsiteY8" fmla="*/ 0 h 390525"/>
            </a:gdLst>
            <a:ahLst/>
            <a:cxnLst>
              <a:cxn ang="0">
                <a:pos x="connsiteX0" y="connsiteY0"/>
              </a:cxn>
              <a:cxn ang="0">
                <a:pos x="connsiteX1" y="connsiteY1"/>
              </a:cxn>
              <a:cxn ang="0">
                <a:pos x="connsiteX2" y="connsiteY2"/>
              </a:cxn>
              <a:cxn ang="0">
                <a:pos x="connsiteX3" y="connsiteY3"/>
              </a:cxn>
              <a:cxn ang="0">
                <a:pos x="connsiteX4" y="connsiteY4"/>
              </a:cxn>
              <a:cxn ang="0">
                <a:pos x="connsiteX5" y="connsiteY5"/>
              </a:cxn>
              <a:cxn ang="0">
                <a:pos x="connsiteX6" y="connsiteY6"/>
              </a:cxn>
              <a:cxn ang="0">
                <a:pos x="connsiteX7" y="connsiteY7"/>
              </a:cxn>
              <a:cxn ang="0">
                <a:pos x="connsiteX8" y="connsiteY8"/>
              </a:cxn>
            </a:cxnLst>
            <a:rect l="l" t="t" r="r" b="b"/>
            <a:pathLst>
              <a:path w="1743075" h="390525" extrusionOk="0">
                <a:moveTo>
                  <a:pt x="0" y="0"/>
                </a:moveTo>
                <a:cubicBezTo>
                  <a:pt x="207033" y="-51748"/>
                  <a:pt x="295303" y="39579"/>
                  <a:pt x="546163" y="0"/>
                </a:cubicBezTo>
                <a:cubicBezTo>
                  <a:pt x="797023" y="-39579"/>
                  <a:pt x="879794" y="40201"/>
                  <a:pt x="1092327" y="0"/>
                </a:cubicBezTo>
                <a:cubicBezTo>
                  <a:pt x="1304860" y="-40201"/>
                  <a:pt x="1462785" y="60863"/>
                  <a:pt x="1743075" y="0"/>
                </a:cubicBezTo>
                <a:cubicBezTo>
                  <a:pt x="1761924" y="111298"/>
                  <a:pt x="1705222" y="294270"/>
                  <a:pt x="1743075" y="390525"/>
                </a:cubicBezTo>
                <a:cubicBezTo>
                  <a:pt x="1566628" y="417325"/>
                  <a:pt x="1351774" y="350232"/>
                  <a:pt x="1179481" y="390525"/>
                </a:cubicBezTo>
                <a:cubicBezTo>
                  <a:pt x="1007188" y="430818"/>
                  <a:pt x="761724" y="339699"/>
                  <a:pt x="615887" y="390525"/>
                </a:cubicBezTo>
                <a:cubicBezTo>
                  <a:pt x="470050" y="441351"/>
                  <a:pt x="139617" y="349665"/>
                  <a:pt x="0" y="390525"/>
                </a:cubicBezTo>
                <a:cubicBezTo>
                  <a:pt x="-31231" y="283670"/>
                  <a:pt x="40190" y="103205"/>
                  <a:pt x="0" y="0"/>
                </a:cubicBezTo>
                <a:close/>
              </a:path>
            </a:pathLst>
          </a:custGeom>
          <a:noFill/>
          <a:ln w="9525" cmpd="sng">
            <a:solidFill>
              <a:schemeClr val="lt1">
                <a:shade val="50000"/>
              </a:schemeClr>
            </a:solidFill>
            <a:extLst>
              <a:ext uri="{C807C97D-BFC1-408E-A445-0C87EB9F89A2}">
                <ask:lineSketchStyleProps xmlns:ask="http://schemas.microsoft.com/office/drawing/2018/sketchyshapes" sd="2755303286">
                  <a:prstGeom prst="rect">
                    <a:avLst/>
                  </a:prstGeom>
                  <ask:type>
                    <ask:lineSketchScribble/>
                  </ask:type>
                </ask:lineSketchStyleProps>
              </a:ext>
            </a:extLst>
          </a:ln>
          <a:effectLst>
            <a:outerShdw blurRad="76200" dist="12700" dir="8100000" sy="-23000" kx="800400" algn="br" rotWithShape="0">
              <a:prstClr val="black">
                <a:alpha val="20000"/>
              </a:prstClr>
            </a:outerShdw>
            <a:reflection blurRad="6350" stA="52000" endA="300" endPos="35000" dir="5400000" sy="-100000" algn="bl" rotWithShape="0"/>
          </a:effectLst>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algn="ctr"/>
            <a:r>
              <a:rPr lang="en-US" sz="1600" b="1"/>
              <a:t>TOTAL</a:t>
            </a:r>
            <a:r>
              <a:rPr lang="en-US" sz="1600" b="1" baseline="0"/>
              <a:t> EXPENSES</a:t>
            </a:r>
            <a:endParaRPr lang="en-US" sz="1600" b="1"/>
          </a:p>
        </xdr:txBody>
      </xdr:sp>
    </xdr:grpSp>
    <xdr:clientData/>
  </xdr:twoCellAnchor>
  <xdr:twoCellAnchor>
    <xdr:from>
      <xdr:col>4</xdr:col>
      <xdr:colOff>981074</xdr:colOff>
      <xdr:row>2</xdr:row>
      <xdr:rowOff>19050</xdr:rowOff>
    </xdr:from>
    <xdr:to>
      <xdr:col>6</xdr:col>
      <xdr:colOff>342899</xdr:colOff>
      <xdr:row>6</xdr:row>
      <xdr:rowOff>57150</xdr:rowOff>
    </xdr:to>
    <xdr:grpSp>
      <xdr:nvGrpSpPr>
        <xdr:cNvPr id="58" name="Group 57">
          <a:extLst>
            <a:ext uri="{FF2B5EF4-FFF2-40B4-BE49-F238E27FC236}">
              <a16:creationId xmlns:a16="http://schemas.microsoft.com/office/drawing/2014/main" id="{5AD897B8-3A24-6DF1-2E89-0E273AAEE873}"/>
            </a:ext>
          </a:extLst>
        </xdr:cNvPr>
        <xdr:cNvGrpSpPr/>
      </xdr:nvGrpSpPr>
      <xdr:grpSpPr>
        <a:xfrm>
          <a:off x="5972174" y="723900"/>
          <a:ext cx="1857375" cy="1447800"/>
          <a:chOff x="5638799" y="723900"/>
          <a:chExt cx="1857375" cy="1447800"/>
        </a:xfrm>
      </xdr:grpSpPr>
      <xdr:sp macro="" textlink="$D$23">
        <xdr:nvSpPr>
          <xdr:cNvPr id="49" name="Rectangle: Rounded Corners 48">
            <a:extLst>
              <a:ext uri="{FF2B5EF4-FFF2-40B4-BE49-F238E27FC236}">
                <a16:creationId xmlns:a16="http://schemas.microsoft.com/office/drawing/2014/main" id="{679B8751-9948-4277-9082-AB17E66C92E0}"/>
              </a:ext>
            </a:extLst>
          </xdr:cNvPr>
          <xdr:cNvSpPr/>
        </xdr:nvSpPr>
        <xdr:spPr>
          <a:xfrm>
            <a:off x="5638799" y="723900"/>
            <a:ext cx="1857375" cy="1447800"/>
          </a:xfrm>
          <a:prstGeom prst="roundRect">
            <a:avLst/>
          </a:prstGeom>
          <a:solidFill>
            <a:schemeClr val="accent6">
              <a:lumMod val="40000"/>
              <a:lumOff val="60000"/>
            </a:schemeClr>
          </a:solidFill>
          <a:effectLst>
            <a:softEdge rad="12700"/>
          </a:effectLst>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ctr"/>
          <a:lstStyle/>
          <a:p>
            <a:pPr algn="ctr"/>
            <a:fld id="{A08256DB-1730-48F6-B203-7DCF45D031F3}" type="TxLink">
              <a:rPr lang="en-US" sz="2800" b="1" i="0" u="none" strike="noStrike">
                <a:solidFill>
                  <a:schemeClr val="tx1">
                    <a:lumMod val="85000"/>
                    <a:lumOff val="15000"/>
                  </a:schemeClr>
                </a:solidFill>
                <a:latin typeface="Aptos Narrow"/>
              </a:rPr>
              <a:pPr algn="ctr"/>
              <a:t> ₦16,500 </a:t>
            </a:fld>
            <a:endParaRPr lang="en-US" sz="2800" b="1">
              <a:solidFill>
                <a:schemeClr val="tx1">
                  <a:lumMod val="85000"/>
                  <a:lumOff val="15000"/>
                </a:schemeClr>
              </a:solidFill>
            </a:endParaRPr>
          </a:p>
        </xdr:txBody>
      </xdr:sp>
      <xdr:sp macro="" textlink="">
        <xdr:nvSpPr>
          <xdr:cNvPr id="50" name="TextBox 49">
            <a:extLst>
              <a:ext uri="{FF2B5EF4-FFF2-40B4-BE49-F238E27FC236}">
                <a16:creationId xmlns:a16="http://schemas.microsoft.com/office/drawing/2014/main" id="{A5095B16-4DB7-4BE0-AA8C-81B8388713A5}"/>
              </a:ext>
            </a:extLst>
          </xdr:cNvPr>
          <xdr:cNvSpPr txBox="1"/>
        </xdr:nvSpPr>
        <xdr:spPr>
          <a:xfrm>
            <a:off x="5686425" y="828675"/>
            <a:ext cx="1743075" cy="390525"/>
          </a:xfrm>
          <a:custGeom>
            <a:avLst/>
            <a:gdLst>
              <a:gd name="connsiteX0" fmla="*/ 0 w 1743075"/>
              <a:gd name="connsiteY0" fmla="*/ 0 h 390525"/>
              <a:gd name="connsiteX1" fmla="*/ 546163 w 1743075"/>
              <a:gd name="connsiteY1" fmla="*/ 0 h 390525"/>
              <a:gd name="connsiteX2" fmla="*/ 1092327 w 1743075"/>
              <a:gd name="connsiteY2" fmla="*/ 0 h 390525"/>
              <a:gd name="connsiteX3" fmla="*/ 1743075 w 1743075"/>
              <a:gd name="connsiteY3" fmla="*/ 0 h 390525"/>
              <a:gd name="connsiteX4" fmla="*/ 1743075 w 1743075"/>
              <a:gd name="connsiteY4" fmla="*/ 390525 h 390525"/>
              <a:gd name="connsiteX5" fmla="*/ 1179481 w 1743075"/>
              <a:gd name="connsiteY5" fmla="*/ 390525 h 390525"/>
              <a:gd name="connsiteX6" fmla="*/ 615887 w 1743075"/>
              <a:gd name="connsiteY6" fmla="*/ 390525 h 390525"/>
              <a:gd name="connsiteX7" fmla="*/ 0 w 1743075"/>
              <a:gd name="connsiteY7" fmla="*/ 390525 h 390525"/>
              <a:gd name="connsiteX8" fmla="*/ 0 w 1743075"/>
              <a:gd name="connsiteY8" fmla="*/ 0 h 390525"/>
            </a:gdLst>
            <a:ahLst/>
            <a:cxnLst>
              <a:cxn ang="0">
                <a:pos x="connsiteX0" y="connsiteY0"/>
              </a:cxn>
              <a:cxn ang="0">
                <a:pos x="connsiteX1" y="connsiteY1"/>
              </a:cxn>
              <a:cxn ang="0">
                <a:pos x="connsiteX2" y="connsiteY2"/>
              </a:cxn>
              <a:cxn ang="0">
                <a:pos x="connsiteX3" y="connsiteY3"/>
              </a:cxn>
              <a:cxn ang="0">
                <a:pos x="connsiteX4" y="connsiteY4"/>
              </a:cxn>
              <a:cxn ang="0">
                <a:pos x="connsiteX5" y="connsiteY5"/>
              </a:cxn>
              <a:cxn ang="0">
                <a:pos x="connsiteX6" y="connsiteY6"/>
              </a:cxn>
              <a:cxn ang="0">
                <a:pos x="connsiteX7" y="connsiteY7"/>
              </a:cxn>
              <a:cxn ang="0">
                <a:pos x="connsiteX8" y="connsiteY8"/>
              </a:cxn>
            </a:cxnLst>
            <a:rect l="l" t="t" r="r" b="b"/>
            <a:pathLst>
              <a:path w="1743075" h="390525" extrusionOk="0">
                <a:moveTo>
                  <a:pt x="0" y="0"/>
                </a:moveTo>
                <a:cubicBezTo>
                  <a:pt x="207033" y="-51748"/>
                  <a:pt x="295303" y="39579"/>
                  <a:pt x="546163" y="0"/>
                </a:cubicBezTo>
                <a:cubicBezTo>
                  <a:pt x="797023" y="-39579"/>
                  <a:pt x="879794" y="40201"/>
                  <a:pt x="1092327" y="0"/>
                </a:cubicBezTo>
                <a:cubicBezTo>
                  <a:pt x="1304860" y="-40201"/>
                  <a:pt x="1462785" y="60863"/>
                  <a:pt x="1743075" y="0"/>
                </a:cubicBezTo>
                <a:cubicBezTo>
                  <a:pt x="1761924" y="111298"/>
                  <a:pt x="1705222" y="294270"/>
                  <a:pt x="1743075" y="390525"/>
                </a:cubicBezTo>
                <a:cubicBezTo>
                  <a:pt x="1566628" y="417325"/>
                  <a:pt x="1351774" y="350232"/>
                  <a:pt x="1179481" y="390525"/>
                </a:cubicBezTo>
                <a:cubicBezTo>
                  <a:pt x="1007188" y="430818"/>
                  <a:pt x="761724" y="339699"/>
                  <a:pt x="615887" y="390525"/>
                </a:cubicBezTo>
                <a:cubicBezTo>
                  <a:pt x="470050" y="441351"/>
                  <a:pt x="139617" y="349665"/>
                  <a:pt x="0" y="390525"/>
                </a:cubicBezTo>
                <a:cubicBezTo>
                  <a:pt x="-31231" y="283670"/>
                  <a:pt x="40190" y="103205"/>
                  <a:pt x="0" y="0"/>
                </a:cubicBezTo>
                <a:close/>
              </a:path>
            </a:pathLst>
          </a:custGeom>
          <a:noFill/>
          <a:ln w="9525" cmpd="sng">
            <a:solidFill>
              <a:schemeClr val="lt1">
                <a:shade val="50000"/>
              </a:schemeClr>
            </a:solidFill>
            <a:extLst>
              <a:ext uri="{C807C97D-BFC1-408E-A445-0C87EB9F89A2}">
                <ask:lineSketchStyleProps xmlns:ask="http://schemas.microsoft.com/office/drawing/2018/sketchyshapes" sd="2755303286">
                  <a:prstGeom prst="rect">
                    <a:avLst/>
                  </a:prstGeom>
                  <ask:type>
                    <ask:lineSketchScribble/>
                  </ask:type>
                </ask:lineSketchStyleProps>
              </a:ext>
            </a:extLst>
          </a:ln>
          <a:effectLst>
            <a:outerShdw blurRad="76200" dist="12700" dir="8100000" sy="-23000" kx="800400" algn="br" rotWithShape="0">
              <a:prstClr val="black">
                <a:alpha val="20000"/>
              </a:prstClr>
            </a:outerShdw>
            <a:reflection blurRad="6350" stA="52000" endA="300" endPos="35000" dir="5400000" sy="-100000" algn="bl" rotWithShape="0"/>
          </a:effectLst>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algn="ctr"/>
            <a:r>
              <a:rPr lang="en-US" sz="1600" b="1"/>
              <a:t>TOTAL</a:t>
            </a:r>
            <a:r>
              <a:rPr lang="en-US" sz="1600" b="1" baseline="0"/>
              <a:t> PROFIT</a:t>
            </a:r>
            <a:endParaRPr lang="en-US" sz="1600" b="1"/>
          </a:p>
        </xdr:txBody>
      </xdr:sp>
    </xdr:grpSp>
    <xdr:clientData/>
  </xdr:twoCellAnchor>
  <xdr:twoCellAnchor>
    <xdr:from>
      <xdr:col>6</xdr:col>
      <xdr:colOff>771524</xdr:colOff>
      <xdr:row>2</xdr:row>
      <xdr:rowOff>19050</xdr:rowOff>
    </xdr:from>
    <xdr:to>
      <xdr:col>8</xdr:col>
      <xdr:colOff>133349</xdr:colOff>
      <xdr:row>6</xdr:row>
      <xdr:rowOff>57150</xdr:rowOff>
    </xdr:to>
    <xdr:grpSp>
      <xdr:nvGrpSpPr>
        <xdr:cNvPr id="57" name="Group 56">
          <a:extLst>
            <a:ext uri="{FF2B5EF4-FFF2-40B4-BE49-F238E27FC236}">
              <a16:creationId xmlns:a16="http://schemas.microsoft.com/office/drawing/2014/main" id="{A88398C1-3E6E-5A4F-EBC8-CE2E1F5AE91B}"/>
            </a:ext>
          </a:extLst>
        </xdr:cNvPr>
        <xdr:cNvGrpSpPr/>
      </xdr:nvGrpSpPr>
      <xdr:grpSpPr>
        <a:xfrm>
          <a:off x="8258174" y="723900"/>
          <a:ext cx="1857375" cy="1447800"/>
          <a:chOff x="8134349" y="733425"/>
          <a:chExt cx="1857375" cy="1447800"/>
        </a:xfrm>
      </xdr:grpSpPr>
      <xdr:sp macro="" textlink="$E$21">
        <xdr:nvSpPr>
          <xdr:cNvPr id="51" name="Rectangle: Rounded Corners 50">
            <a:extLst>
              <a:ext uri="{FF2B5EF4-FFF2-40B4-BE49-F238E27FC236}">
                <a16:creationId xmlns:a16="http://schemas.microsoft.com/office/drawing/2014/main" id="{127DDD4A-E171-49D6-AA01-D599F399383D}"/>
              </a:ext>
            </a:extLst>
          </xdr:cNvPr>
          <xdr:cNvSpPr/>
        </xdr:nvSpPr>
        <xdr:spPr>
          <a:xfrm>
            <a:off x="8134349" y="733425"/>
            <a:ext cx="1857375" cy="1447800"/>
          </a:xfrm>
          <a:prstGeom prst="roundRect">
            <a:avLst/>
          </a:prstGeom>
          <a:solidFill>
            <a:schemeClr val="accent6">
              <a:lumMod val="40000"/>
              <a:lumOff val="60000"/>
            </a:schemeClr>
          </a:solidFill>
          <a:effectLst>
            <a:softEdge rad="12700"/>
          </a:effectLst>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ctr"/>
          <a:lstStyle/>
          <a:p>
            <a:pPr algn="ctr"/>
            <a:fld id="{657A443F-186F-45BC-967B-25FF77B0D23C}" type="TxLink">
              <a:rPr lang="en-US" sz="2800" b="1" i="0" u="none" strike="noStrike">
                <a:solidFill>
                  <a:schemeClr val="tx1">
                    <a:lumMod val="85000"/>
                    <a:lumOff val="15000"/>
                  </a:schemeClr>
                </a:solidFill>
                <a:latin typeface="Aptos Narrow"/>
              </a:rPr>
              <a:pPr algn="ctr"/>
              <a:t>-₦95,500 </a:t>
            </a:fld>
            <a:endParaRPr lang="en-US" sz="2800" b="1">
              <a:solidFill>
                <a:schemeClr val="tx1">
                  <a:lumMod val="85000"/>
                  <a:lumOff val="15000"/>
                </a:schemeClr>
              </a:solidFill>
            </a:endParaRPr>
          </a:p>
        </xdr:txBody>
      </xdr:sp>
      <xdr:sp macro="" textlink="">
        <xdr:nvSpPr>
          <xdr:cNvPr id="52" name="TextBox 51">
            <a:extLst>
              <a:ext uri="{FF2B5EF4-FFF2-40B4-BE49-F238E27FC236}">
                <a16:creationId xmlns:a16="http://schemas.microsoft.com/office/drawing/2014/main" id="{8387CB8D-DE6F-48D6-8295-938597D82517}"/>
              </a:ext>
            </a:extLst>
          </xdr:cNvPr>
          <xdr:cNvSpPr txBox="1"/>
        </xdr:nvSpPr>
        <xdr:spPr>
          <a:xfrm>
            <a:off x="8181975" y="838200"/>
            <a:ext cx="1743075" cy="390525"/>
          </a:xfrm>
          <a:custGeom>
            <a:avLst/>
            <a:gdLst>
              <a:gd name="connsiteX0" fmla="*/ 0 w 1743075"/>
              <a:gd name="connsiteY0" fmla="*/ 0 h 390525"/>
              <a:gd name="connsiteX1" fmla="*/ 546163 w 1743075"/>
              <a:gd name="connsiteY1" fmla="*/ 0 h 390525"/>
              <a:gd name="connsiteX2" fmla="*/ 1092327 w 1743075"/>
              <a:gd name="connsiteY2" fmla="*/ 0 h 390525"/>
              <a:gd name="connsiteX3" fmla="*/ 1743075 w 1743075"/>
              <a:gd name="connsiteY3" fmla="*/ 0 h 390525"/>
              <a:gd name="connsiteX4" fmla="*/ 1743075 w 1743075"/>
              <a:gd name="connsiteY4" fmla="*/ 390525 h 390525"/>
              <a:gd name="connsiteX5" fmla="*/ 1179481 w 1743075"/>
              <a:gd name="connsiteY5" fmla="*/ 390525 h 390525"/>
              <a:gd name="connsiteX6" fmla="*/ 615887 w 1743075"/>
              <a:gd name="connsiteY6" fmla="*/ 390525 h 390525"/>
              <a:gd name="connsiteX7" fmla="*/ 0 w 1743075"/>
              <a:gd name="connsiteY7" fmla="*/ 390525 h 390525"/>
              <a:gd name="connsiteX8" fmla="*/ 0 w 1743075"/>
              <a:gd name="connsiteY8" fmla="*/ 0 h 390525"/>
            </a:gdLst>
            <a:ahLst/>
            <a:cxnLst>
              <a:cxn ang="0">
                <a:pos x="connsiteX0" y="connsiteY0"/>
              </a:cxn>
              <a:cxn ang="0">
                <a:pos x="connsiteX1" y="connsiteY1"/>
              </a:cxn>
              <a:cxn ang="0">
                <a:pos x="connsiteX2" y="connsiteY2"/>
              </a:cxn>
              <a:cxn ang="0">
                <a:pos x="connsiteX3" y="connsiteY3"/>
              </a:cxn>
              <a:cxn ang="0">
                <a:pos x="connsiteX4" y="connsiteY4"/>
              </a:cxn>
              <a:cxn ang="0">
                <a:pos x="connsiteX5" y="connsiteY5"/>
              </a:cxn>
              <a:cxn ang="0">
                <a:pos x="connsiteX6" y="connsiteY6"/>
              </a:cxn>
              <a:cxn ang="0">
                <a:pos x="connsiteX7" y="connsiteY7"/>
              </a:cxn>
              <a:cxn ang="0">
                <a:pos x="connsiteX8" y="connsiteY8"/>
              </a:cxn>
            </a:cxnLst>
            <a:rect l="l" t="t" r="r" b="b"/>
            <a:pathLst>
              <a:path w="1743075" h="390525" extrusionOk="0">
                <a:moveTo>
                  <a:pt x="0" y="0"/>
                </a:moveTo>
                <a:cubicBezTo>
                  <a:pt x="207033" y="-51748"/>
                  <a:pt x="295303" y="39579"/>
                  <a:pt x="546163" y="0"/>
                </a:cubicBezTo>
                <a:cubicBezTo>
                  <a:pt x="797023" y="-39579"/>
                  <a:pt x="879794" y="40201"/>
                  <a:pt x="1092327" y="0"/>
                </a:cubicBezTo>
                <a:cubicBezTo>
                  <a:pt x="1304860" y="-40201"/>
                  <a:pt x="1462785" y="60863"/>
                  <a:pt x="1743075" y="0"/>
                </a:cubicBezTo>
                <a:cubicBezTo>
                  <a:pt x="1761924" y="111298"/>
                  <a:pt x="1705222" y="294270"/>
                  <a:pt x="1743075" y="390525"/>
                </a:cubicBezTo>
                <a:cubicBezTo>
                  <a:pt x="1566628" y="417325"/>
                  <a:pt x="1351774" y="350232"/>
                  <a:pt x="1179481" y="390525"/>
                </a:cubicBezTo>
                <a:cubicBezTo>
                  <a:pt x="1007188" y="430818"/>
                  <a:pt x="761724" y="339699"/>
                  <a:pt x="615887" y="390525"/>
                </a:cubicBezTo>
                <a:cubicBezTo>
                  <a:pt x="470050" y="441351"/>
                  <a:pt x="139617" y="349665"/>
                  <a:pt x="0" y="390525"/>
                </a:cubicBezTo>
                <a:cubicBezTo>
                  <a:pt x="-31231" y="283670"/>
                  <a:pt x="40190" y="103205"/>
                  <a:pt x="0" y="0"/>
                </a:cubicBezTo>
                <a:close/>
              </a:path>
            </a:pathLst>
          </a:custGeom>
          <a:noFill/>
          <a:ln w="9525" cmpd="sng">
            <a:solidFill>
              <a:schemeClr val="lt1">
                <a:shade val="50000"/>
              </a:schemeClr>
            </a:solidFill>
            <a:extLst>
              <a:ext uri="{C807C97D-BFC1-408E-A445-0C87EB9F89A2}">
                <ask:lineSketchStyleProps xmlns:ask="http://schemas.microsoft.com/office/drawing/2018/sketchyshapes" sd="2755303286">
                  <a:prstGeom prst="rect">
                    <a:avLst/>
                  </a:prstGeom>
                  <ask:type>
                    <ask:lineSketchScribble/>
                  </ask:type>
                </ask:lineSketchStyleProps>
              </a:ext>
            </a:extLst>
          </a:ln>
          <a:effectLst>
            <a:outerShdw blurRad="76200" dist="12700" dir="8100000" sy="-23000" kx="800400" algn="br" rotWithShape="0">
              <a:prstClr val="black">
                <a:alpha val="20000"/>
              </a:prstClr>
            </a:outerShdw>
            <a:reflection blurRad="6350" stA="52000" endA="300" endPos="35000" dir="5400000" sy="-100000" algn="bl" rotWithShape="0"/>
          </a:effectLst>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algn="ctr"/>
            <a:r>
              <a:rPr lang="en-US" sz="1600" b="1" baseline="0"/>
              <a:t>NET PROFIT</a:t>
            </a:r>
            <a:endParaRPr lang="en-US" sz="1600" b="1"/>
          </a:p>
        </xdr:txBody>
      </xdr:sp>
    </xdr:grpSp>
    <xdr:clientData/>
  </xdr:twoCellAnchor>
  <xdr:twoCellAnchor>
    <xdr:from>
      <xdr:col>0</xdr:col>
      <xdr:colOff>85725</xdr:colOff>
      <xdr:row>0</xdr:row>
      <xdr:rowOff>136878</xdr:rowOff>
    </xdr:from>
    <xdr:to>
      <xdr:col>1</xdr:col>
      <xdr:colOff>57150</xdr:colOff>
      <xdr:row>15</xdr:row>
      <xdr:rowOff>19050</xdr:rowOff>
    </xdr:to>
    <xdr:grpSp>
      <xdr:nvGrpSpPr>
        <xdr:cNvPr id="10" name="Group 9">
          <a:extLst>
            <a:ext uri="{FF2B5EF4-FFF2-40B4-BE49-F238E27FC236}">
              <a16:creationId xmlns:a16="http://schemas.microsoft.com/office/drawing/2014/main" id="{34109169-BF05-5D22-C256-8C94E56FE00B}"/>
            </a:ext>
          </a:extLst>
        </xdr:cNvPr>
        <xdr:cNvGrpSpPr/>
      </xdr:nvGrpSpPr>
      <xdr:grpSpPr>
        <a:xfrm>
          <a:off x="85725" y="136878"/>
          <a:ext cx="1219200" cy="5168547"/>
          <a:chOff x="85725" y="136878"/>
          <a:chExt cx="1219200" cy="5168547"/>
        </a:xfrm>
      </xdr:grpSpPr>
      <xdr:sp macro="" textlink="">
        <xdr:nvSpPr>
          <xdr:cNvPr id="15" name="Rectangle: Rounded Corners 14">
            <a:extLst>
              <a:ext uri="{FF2B5EF4-FFF2-40B4-BE49-F238E27FC236}">
                <a16:creationId xmlns:a16="http://schemas.microsoft.com/office/drawing/2014/main" id="{8F17AA62-C149-49A0-92AD-F8943B37E7D8}"/>
              </a:ext>
            </a:extLst>
          </xdr:cNvPr>
          <xdr:cNvSpPr/>
        </xdr:nvSpPr>
        <xdr:spPr>
          <a:xfrm>
            <a:off x="85725" y="136878"/>
            <a:ext cx="1219200" cy="5168547"/>
          </a:xfrm>
          <a:prstGeom prst="roundRect">
            <a:avLst/>
          </a:prstGeom>
          <a:solidFill>
            <a:schemeClr val="accent6">
              <a:lumMod val="40000"/>
              <a:lumOff val="60000"/>
            </a:schemeClr>
          </a:solidFill>
          <a:effectLst>
            <a:softEdge rad="12700"/>
          </a:effectLst>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mc:AlternateContent xmlns:mc="http://schemas.openxmlformats.org/markup-compatibility/2006">
        <mc:Choice xmlns:a14="http://schemas.microsoft.com/office/drawing/2010/main" Requires="a14">
          <xdr:graphicFrame macro="">
            <xdr:nvGraphicFramePr>
              <xdr:cNvPr id="53" name="ProductName">
                <a:extLst>
                  <a:ext uri="{FF2B5EF4-FFF2-40B4-BE49-F238E27FC236}">
                    <a16:creationId xmlns:a16="http://schemas.microsoft.com/office/drawing/2014/main" id="{178B4FFC-FF21-4929-B403-AA4D7C94B487}"/>
                  </a:ext>
                </a:extLst>
              </xdr:cNvPr>
              <xdr:cNvGraphicFramePr/>
            </xdr:nvGraphicFramePr>
            <xdr:xfrm>
              <a:off x="104775" y="3228975"/>
              <a:ext cx="1181100" cy="1571625"/>
            </xdr:xfrm>
            <a:graphic>
              <a:graphicData uri="http://schemas.microsoft.com/office/drawing/2010/slicer">
                <sle:slicer xmlns:sle="http://schemas.microsoft.com/office/drawing/2010/slicer" name="ProductName"/>
              </a:graphicData>
            </a:graphic>
          </xdr:graphicFrame>
        </mc:Choice>
        <mc:Fallback>
          <xdr:sp macro="" textlink="">
            <xdr:nvSpPr>
              <xdr:cNvPr id="0" name=""/>
              <xdr:cNvSpPr>
                <a:spLocks noTextEdit="1"/>
              </xdr:cNvSpPr>
            </xdr:nvSpPr>
            <xdr:spPr>
              <a:xfrm>
                <a:off x="104775" y="3228975"/>
                <a:ext cx="1181100" cy="1571625"/>
              </a:xfrm>
              <a:prstGeom prst="rect">
                <a:avLst/>
              </a:prstGeom>
              <a:solidFill>
                <a:prstClr val="white"/>
              </a:solidFill>
              <a:ln w="1">
                <a:solidFill>
                  <a:prstClr val="green"/>
                </a:solidFill>
              </a:ln>
            </xdr:spPr>
            <xdr:txBody>
              <a:bodyPr vertOverflow="clip" horzOverflow="clip"/>
              <a:lstStyle/>
              <a:p>
                <a:r>
                  <a:rPr lang="en-US" sz="1100"/>
                  <a:t>This shape represents a slicer. Slicers are supported in Excel 2010 or later.
If the shape was modified in an earlier version of Excel, or if the workbook was saved in Excel 2003 or earlier, the slicer cannot be used.</a:t>
                </a:r>
              </a:p>
            </xdr:txBody>
          </xdr:sp>
        </mc:Fallback>
      </mc:AlternateContent>
      <mc:AlternateContent xmlns:mc="http://schemas.openxmlformats.org/markup-compatibility/2006">
        <mc:Choice xmlns:a14="http://schemas.microsoft.com/office/drawing/2010/main" Requires="a14">
          <xdr:graphicFrame macro="">
            <xdr:nvGraphicFramePr>
              <xdr:cNvPr id="54" name="Date">
                <a:extLst>
                  <a:ext uri="{FF2B5EF4-FFF2-40B4-BE49-F238E27FC236}">
                    <a16:creationId xmlns:a16="http://schemas.microsoft.com/office/drawing/2014/main" id="{43EE7E61-4305-4008-9BDB-5A1E40002F40}"/>
                  </a:ext>
                </a:extLst>
              </xdr:cNvPr>
              <xdr:cNvGraphicFramePr/>
            </xdr:nvGraphicFramePr>
            <xdr:xfrm>
              <a:off x="114300" y="762000"/>
              <a:ext cx="1162049" cy="2305050"/>
            </xdr:xfrm>
            <a:graphic>
              <a:graphicData uri="http://schemas.microsoft.com/office/drawing/2010/slicer">
                <sle:slicer xmlns:sle="http://schemas.microsoft.com/office/drawing/2010/slicer" name="Date"/>
              </a:graphicData>
            </a:graphic>
          </xdr:graphicFrame>
        </mc:Choice>
        <mc:Fallback>
          <xdr:sp macro="" textlink="">
            <xdr:nvSpPr>
              <xdr:cNvPr id="0" name=""/>
              <xdr:cNvSpPr>
                <a:spLocks noTextEdit="1"/>
              </xdr:cNvSpPr>
            </xdr:nvSpPr>
            <xdr:spPr>
              <a:xfrm>
                <a:off x="114300" y="762000"/>
                <a:ext cx="1162049" cy="2305050"/>
              </a:xfrm>
              <a:prstGeom prst="rect">
                <a:avLst/>
              </a:prstGeom>
              <a:solidFill>
                <a:prstClr val="white"/>
              </a:solidFill>
              <a:ln w="1">
                <a:solidFill>
                  <a:prstClr val="green"/>
                </a:solidFill>
              </a:ln>
            </xdr:spPr>
            <xdr:txBody>
              <a:bodyPr vertOverflow="clip" horzOverflow="clip"/>
              <a:lstStyle/>
              <a:p>
                <a:r>
                  <a:rPr lang="en-US"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grpSp>
    <xdr:clientData/>
  </xdr:twoCellAnchor>
  <xdr:twoCellAnchor>
    <xdr:from>
      <xdr:col>8</xdr:col>
      <xdr:colOff>609600</xdr:colOff>
      <xdr:row>2</xdr:row>
      <xdr:rowOff>19050</xdr:rowOff>
    </xdr:from>
    <xdr:to>
      <xdr:col>9</xdr:col>
      <xdr:colOff>1209675</xdr:colOff>
      <xdr:row>6</xdr:row>
      <xdr:rowOff>57150</xdr:rowOff>
    </xdr:to>
    <xdr:grpSp>
      <xdr:nvGrpSpPr>
        <xdr:cNvPr id="56" name="Group 55">
          <a:extLst>
            <a:ext uri="{FF2B5EF4-FFF2-40B4-BE49-F238E27FC236}">
              <a16:creationId xmlns:a16="http://schemas.microsoft.com/office/drawing/2014/main" id="{094D6FB9-7814-C6F4-119C-6B34725BC63E}"/>
            </a:ext>
          </a:extLst>
        </xdr:cNvPr>
        <xdr:cNvGrpSpPr/>
      </xdr:nvGrpSpPr>
      <xdr:grpSpPr>
        <a:xfrm>
          <a:off x="10591800" y="723900"/>
          <a:ext cx="1847850" cy="1447800"/>
          <a:chOff x="10591800" y="723900"/>
          <a:chExt cx="1847850" cy="1447800"/>
        </a:xfrm>
      </xdr:grpSpPr>
      <xdr:sp macro="" textlink="$E$25">
        <xdr:nvSpPr>
          <xdr:cNvPr id="44" name="Rectangle: Rounded Corners 43">
            <a:extLst>
              <a:ext uri="{FF2B5EF4-FFF2-40B4-BE49-F238E27FC236}">
                <a16:creationId xmlns:a16="http://schemas.microsoft.com/office/drawing/2014/main" id="{D51C4A9E-536B-4D4E-928E-25CDB0E17D21}"/>
              </a:ext>
            </a:extLst>
          </xdr:cNvPr>
          <xdr:cNvSpPr/>
        </xdr:nvSpPr>
        <xdr:spPr>
          <a:xfrm>
            <a:off x="10591800" y="723900"/>
            <a:ext cx="1847850" cy="1447800"/>
          </a:xfrm>
          <a:prstGeom prst="roundRect">
            <a:avLst/>
          </a:prstGeom>
          <a:solidFill>
            <a:schemeClr val="accent6">
              <a:lumMod val="40000"/>
              <a:lumOff val="60000"/>
            </a:schemeClr>
          </a:solidFill>
          <a:effectLst>
            <a:softEdge rad="12700"/>
          </a:effectLst>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ctr"/>
          <a:lstStyle/>
          <a:p>
            <a:pPr algn="ctr"/>
            <a:fld id="{A4AC6AD9-3008-49D3-AED9-67DDFAA74954}" type="TxLink">
              <a:rPr lang="en-US" sz="2800" b="1" i="0" u="none" strike="noStrike">
                <a:solidFill>
                  <a:schemeClr val="tx1">
                    <a:lumMod val="85000"/>
                    <a:lumOff val="15000"/>
                  </a:schemeClr>
                </a:solidFill>
                <a:latin typeface="Aptos Narrow"/>
              </a:rPr>
              <a:pPr algn="ctr"/>
              <a:t>2</a:t>
            </a:fld>
            <a:endParaRPr lang="en-US" sz="2800" b="1">
              <a:solidFill>
                <a:schemeClr val="tx1">
                  <a:lumMod val="85000"/>
                  <a:lumOff val="15000"/>
                </a:schemeClr>
              </a:solidFill>
            </a:endParaRPr>
          </a:p>
        </xdr:txBody>
      </xdr:sp>
      <xdr:sp macro="" textlink="">
        <xdr:nvSpPr>
          <xdr:cNvPr id="55" name="TextBox 54">
            <a:extLst>
              <a:ext uri="{FF2B5EF4-FFF2-40B4-BE49-F238E27FC236}">
                <a16:creationId xmlns:a16="http://schemas.microsoft.com/office/drawing/2014/main" id="{3B3D7386-10A8-4A12-940D-494B4E66D0F1}"/>
              </a:ext>
            </a:extLst>
          </xdr:cNvPr>
          <xdr:cNvSpPr txBox="1"/>
        </xdr:nvSpPr>
        <xdr:spPr>
          <a:xfrm>
            <a:off x="10633875" y="828675"/>
            <a:ext cx="1758149" cy="390525"/>
          </a:xfrm>
          <a:custGeom>
            <a:avLst/>
            <a:gdLst>
              <a:gd name="connsiteX0" fmla="*/ 0 w 1758149"/>
              <a:gd name="connsiteY0" fmla="*/ 0 h 390525"/>
              <a:gd name="connsiteX1" fmla="*/ 550887 w 1758149"/>
              <a:gd name="connsiteY1" fmla="*/ 0 h 390525"/>
              <a:gd name="connsiteX2" fmla="*/ 1101773 w 1758149"/>
              <a:gd name="connsiteY2" fmla="*/ 0 h 390525"/>
              <a:gd name="connsiteX3" fmla="*/ 1758149 w 1758149"/>
              <a:gd name="connsiteY3" fmla="*/ 0 h 390525"/>
              <a:gd name="connsiteX4" fmla="*/ 1758149 w 1758149"/>
              <a:gd name="connsiteY4" fmla="*/ 390525 h 390525"/>
              <a:gd name="connsiteX5" fmla="*/ 1189681 w 1758149"/>
              <a:gd name="connsiteY5" fmla="*/ 390525 h 390525"/>
              <a:gd name="connsiteX6" fmla="*/ 621213 w 1758149"/>
              <a:gd name="connsiteY6" fmla="*/ 390525 h 390525"/>
              <a:gd name="connsiteX7" fmla="*/ 0 w 1758149"/>
              <a:gd name="connsiteY7" fmla="*/ 390525 h 390525"/>
              <a:gd name="connsiteX8" fmla="*/ 0 w 1758149"/>
              <a:gd name="connsiteY8" fmla="*/ 0 h 390525"/>
            </a:gdLst>
            <a:ahLst/>
            <a:cxnLst>
              <a:cxn ang="0">
                <a:pos x="connsiteX0" y="connsiteY0"/>
              </a:cxn>
              <a:cxn ang="0">
                <a:pos x="connsiteX1" y="connsiteY1"/>
              </a:cxn>
              <a:cxn ang="0">
                <a:pos x="connsiteX2" y="connsiteY2"/>
              </a:cxn>
              <a:cxn ang="0">
                <a:pos x="connsiteX3" y="connsiteY3"/>
              </a:cxn>
              <a:cxn ang="0">
                <a:pos x="connsiteX4" y="connsiteY4"/>
              </a:cxn>
              <a:cxn ang="0">
                <a:pos x="connsiteX5" y="connsiteY5"/>
              </a:cxn>
              <a:cxn ang="0">
                <a:pos x="connsiteX6" y="connsiteY6"/>
              </a:cxn>
              <a:cxn ang="0">
                <a:pos x="connsiteX7" y="connsiteY7"/>
              </a:cxn>
              <a:cxn ang="0">
                <a:pos x="connsiteX8" y="connsiteY8"/>
              </a:cxn>
            </a:cxnLst>
            <a:rect l="l" t="t" r="r" b="b"/>
            <a:pathLst>
              <a:path w="1758149" h="390525" extrusionOk="0">
                <a:moveTo>
                  <a:pt x="0" y="0"/>
                </a:moveTo>
                <a:cubicBezTo>
                  <a:pt x="258332" y="-2518"/>
                  <a:pt x="282035" y="31996"/>
                  <a:pt x="550887" y="0"/>
                </a:cubicBezTo>
                <a:cubicBezTo>
                  <a:pt x="819739" y="-31996"/>
                  <a:pt x="939812" y="29907"/>
                  <a:pt x="1101773" y="0"/>
                </a:cubicBezTo>
                <a:cubicBezTo>
                  <a:pt x="1263734" y="-29907"/>
                  <a:pt x="1546687" y="44412"/>
                  <a:pt x="1758149" y="0"/>
                </a:cubicBezTo>
                <a:cubicBezTo>
                  <a:pt x="1776998" y="111298"/>
                  <a:pt x="1720296" y="294270"/>
                  <a:pt x="1758149" y="390525"/>
                </a:cubicBezTo>
                <a:cubicBezTo>
                  <a:pt x="1516764" y="410946"/>
                  <a:pt x="1368399" y="379284"/>
                  <a:pt x="1189681" y="390525"/>
                </a:cubicBezTo>
                <a:cubicBezTo>
                  <a:pt x="1010963" y="401766"/>
                  <a:pt x="861452" y="382574"/>
                  <a:pt x="621213" y="390525"/>
                </a:cubicBezTo>
                <a:cubicBezTo>
                  <a:pt x="380974" y="398476"/>
                  <a:pt x="148712" y="363304"/>
                  <a:pt x="0" y="390525"/>
                </a:cubicBezTo>
                <a:cubicBezTo>
                  <a:pt x="-31231" y="283670"/>
                  <a:pt x="40190" y="103205"/>
                  <a:pt x="0" y="0"/>
                </a:cubicBezTo>
                <a:close/>
              </a:path>
            </a:pathLst>
          </a:custGeom>
          <a:noFill/>
          <a:ln w="9525" cmpd="sng">
            <a:solidFill>
              <a:schemeClr val="lt1">
                <a:shade val="50000"/>
              </a:schemeClr>
            </a:solidFill>
            <a:extLst>
              <a:ext uri="{C807C97D-BFC1-408E-A445-0C87EB9F89A2}">
                <ask:lineSketchStyleProps xmlns:ask="http://schemas.microsoft.com/office/drawing/2018/sketchyshapes" sd="2755303286">
                  <a:prstGeom prst="rect">
                    <a:avLst/>
                  </a:prstGeom>
                  <ask:type>
                    <ask:lineSketchScribble/>
                  </ask:type>
                </ask:lineSketchStyleProps>
              </a:ext>
            </a:extLst>
          </a:ln>
          <a:effectLst>
            <a:outerShdw blurRad="76200" dist="12700" dir="8100000" sy="-23000" kx="800400" algn="br" rotWithShape="0">
              <a:prstClr val="black">
                <a:alpha val="20000"/>
              </a:prstClr>
            </a:outerShdw>
            <a:reflection blurRad="6350" stA="52000" endA="300" endPos="35000" dir="5400000" sy="-100000" algn="bl" rotWithShape="0"/>
          </a:effectLst>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algn="ctr"/>
            <a:r>
              <a:rPr lang="en-US" sz="1600" b="1" baseline="0"/>
              <a:t>LOW STOCK ALERT</a:t>
            </a:r>
          </a:p>
        </xdr:txBody>
      </xdr:sp>
    </xdr:grpSp>
    <xdr:clientData/>
  </xdr:twoCellAnchor>
  <xdr:twoCellAnchor>
    <xdr:from>
      <xdr:col>1</xdr:col>
      <xdr:colOff>142876</xdr:colOff>
      <xdr:row>6</xdr:row>
      <xdr:rowOff>323722</xdr:rowOff>
    </xdr:from>
    <xdr:to>
      <xdr:col>3</xdr:col>
      <xdr:colOff>371476</xdr:colOff>
      <xdr:row>15</xdr:row>
      <xdr:rowOff>19050</xdr:rowOff>
    </xdr:to>
    <xdr:grpSp>
      <xdr:nvGrpSpPr>
        <xdr:cNvPr id="4" name="Group 3">
          <a:extLst>
            <a:ext uri="{FF2B5EF4-FFF2-40B4-BE49-F238E27FC236}">
              <a16:creationId xmlns:a16="http://schemas.microsoft.com/office/drawing/2014/main" id="{9DF93FA6-1B5C-5D9D-0937-2DDDE238125C}"/>
            </a:ext>
          </a:extLst>
        </xdr:cNvPr>
        <xdr:cNvGrpSpPr/>
      </xdr:nvGrpSpPr>
      <xdr:grpSpPr>
        <a:xfrm>
          <a:off x="1390651" y="2438272"/>
          <a:ext cx="2724150" cy="2867153"/>
          <a:chOff x="1390651" y="2438272"/>
          <a:chExt cx="2724150" cy="2867153"/>
        </a:xfrm>
      </xdr:grpSpPr>
      <xdr:sp macro="" textlink="">
        <xdr:nvSpPr>
          <xdr:cNvPr id="61" name="Rectangle: Rounded Corners 60">
            <a:extLst>
              <a:ext uri="{FF2B5EF4-FFF2-40B4-BE49-F238E27FC236}">
                <a16:creationId xmlns:a16="http://schemas.microsoft.com/office/drawing/2014/main" id="{F32721BC-9171-467C-88D2-D8F5D8A7F9CE}"/>
              </a:ext>
            </a:extLst>
          </xdr:cNvPr>
          <xdr:cNvSpPr/>
        </xdr:nvSpPr>
        <xdr:spPr>
          <a:xfrm>
            <a:off x="1390651" y="2438272"/>
            <a:ext cx="2724150" cy="2867153"/>
          </a:xfrm>
          <a:prstGeom prst="roundRect">
            <a:avLst/>
          </a:prstGeom>
          <a:solidFill>
            <a:schemeClr val="accent6">
              <a:lumMod val="40000"/>
              <a:lumOff val="60000"/>
            </a:schemeClr>
          </a:solidFill>
          <a:effectLst>
            <a:softEdge rad="12700"/>
          </a:effectLst>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graphicFrame macro="">
        <xdr:nvGraphicFramePr>
          <xdr:cNvPr id="68" name="Chart 12">
            <a:extLst>
              <a:ext uri="{FF2B5EF4-FFF2-40B4-BE49-F238E27FC236}">
                <a16:creationId xmlns:a16="http://schemas.microsoft.com/office/drawing/2014/main" id="{16678AC3-1064-C2BB-A6FA-EEDD23208872}"/>
              </a:ext>
            </a:extLst>
          </xdr:cNvPr>
          <xdr:cNvGraphicFramePr/>
        </xdr:nvGraphicFramePr>
        <xdr:xfrm>
          <a:off x="1438275" y="2486025"/>
          <a:ext cx="2590799" cy="2743200"/>
        </xdr:xfrm>
        <a:graphic>
          <a:graphicData uri="http://schemas.openxmlformats.org/drawingml/2006/chart">
            <c:chart xmlns:c="http://schemas.openxmlformats.org/drawingml/2006/chart" xmlns:r="http://schemas.openxmlformats.org/officeDocument/2006/relationships" r:id="rId1"/>
          </a:graphicData>
        </a:graphic>
      </xdr:graphicFrame>
    </xdr:grpSp>
    <xdr:clientData/>
  </xdr:twoCellAnchor>
  <xdr:twoCellAnchor>
    <xdr:from>
      <xdr:col>3</xdr:col>
      <xdr:colOff>457200</xdr:colOff>
      <xdr:row>6</xdr:row>
      <xdr:rowOff>323722</xdr:rowOff>
    </xdr:from>
    <xdr:to>
      <xdr:col>5</xdr:col>
      <xdr:colOff>714375</xdr:colOff>
      <xdr:row>15</xdr:row>
      <xdr:rowOff>19050</xdr:rowOff>
    </xdr:to>
    <xdr:grpSp>
      <xdr:nvGrpSpPr>
        <xdr:cNvPr id="7" name="Group 6">
          <a:extLst>
            <a:ext uri="{FF2B5EF4-FFF2-40B4-BE49-F238E27FC236}">
              <a16:creationId xmlns:a16="http://schemas.microsoft.com/office/drawing/2014/main" id="{2D65EC76-5D2B-8A6A-6001-A024606AF0FB}"/>
            </a:ext>
          </a:extLst>
        </xdr:cNvPr>
        <xdr:cNvGrpSpPr/>
      </xdr:nvGrpSpPr>
      <xdr:grpSpPr>
        <a:xfrm>
          <a:off x="4200525" y="2438272"/>
          <a:ext cx="2752725" cy="2867153"/>
          <a:chOff x="4200525" y="2438272"/>
          <a:chExt cx="2752725" cy="2867153"/>
        </a:xfrm>
      </xdr:grpSpPr>
      <xdr:sp macro="" textlink="">
        <xdr:nvSpPr>
          <xdr:cNvPr id="62" name="Rectangle: Rounded Corners 61">
            <a:extLst>
              <a:ext uri="{FF2B5EF4-FFF2-40B4-BE49-F238E27FC236}">
                <a16:creationId xmlns:a16="http://schemas.microsoft.com/office/drawing/2014/main" id="{BC308A34-DC57-4A73-A9CE-91139AA30412}"/>
              </a:ext>
            </a:extLst>
          </xdr:cNvPr>
          <xdr:cNvSpPr/>
        </xdr:nvSpPr>
        <xdr:spPr>
          <a:xfrm>
            <a:off x="4200525" y="2438272"/>
            <a:ext cx="2752725" cy="2867153"/>
          </a:xfrm>
          <a:prstGeom prst="roundRect">
            <a:avLst/>
          </a:prstGeom>
          <a:solidFill>
            <a:schemeClr val="accent6">
              <a:lumMod val="40000"/>
              <a:lumOff val="60000"/>
            </a:schemeClr>
          </a:solidFill>
          <a:effectLst>
            <a:softEdge rad="12700"/>
          </a:effectLst>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graphicFrame macro="">
        <xdr:nvGraphicFramePr>
          <xdr:cNvPr id="70" name="Chart 14">
            <a:extLst>
              <a:ext uri="{FF2B5EF4-FFF2-40B4-BE49-F238E27FC236}">
                <a16:creationId xmlns:a16="http://schemas.microsoft.com/office/drawing/2014/main" id="{A48D9A26-CE66-7C54-E2A3-8E8745B7C906}"/>
              </a:ext>
            </a:extLst>
          </xdr:cNvPr>
          <xdr:cNvGraphicFramePr/>
        </xdr:nvGraphicFramePr>
        <xdr:xfrm>
          <a:off x="4257675" y="2476500"/>
          <a:ext cx="2628900" cy="2743200"/>
        </xdr:xfrm>
        <a:graphic>
          <a:graphicData uri="http://schemas.openxmlformats.org/drawingml/2006/chart">
            <c:chart xmlns:c="http://schemas.openxmlformats.org/drawingml/2006/chart" xmlns:r="http://schemas.openxmlformats.org/officeDocument/2006/relationships" r:id="rId2"/>
          </a:graphicData>
        </a:graphic>
      </xdr:graphicFrame>
    </xdr:grpSp>
    <xdr:clientData/>
  </xdr:twoCellAnchor>
  <xdr:twoCellAnchor>
    <xdr:from>
      <xdr:col>5</xdr:col>
      <xdr:colOff>800100</xdr:colOff>
      <xdr:row>6</xdr:row>
      <xdr:rowOff>323722</xdr:rowOff>
    </xdr:from>
    <xdr:to>
      <xdr:col>7</xdr:col>
      <xdr:colOff>1057275</xdr:colOff>
      <xdr:row>15</xdr:row>
      <xdr:rowOff>19050</xdr:rowOff>
    </xdr:to>
    <xdr:grpSp>
      <xdr:nvGrpSpPr>
        <xdr:cNvPr id="8" name="Group 7">
          <a:extLst>
            <a:ext uri="{FF2B5EF4-FFF2-40B4-BE49-F238E27FC236}">
              <a16:creationId xmlns:a16="http://schemas.microsoft.com/office/drawing/2014/main" id="{654F3BDC-2694-E15B-51DC-33A01EBF44B9}"/>
            </a:ext>
          </a:extLst>
        </xdr:cNvPr>
        <xdr:cNvGrpSpPr/>
      </xdr:nvGrpSpPr>
      <xdr:grpSpPr>
        <a:xfrm>
          <a:off x="7038975" y="2438272"/>
          <a:ext cx="2752725" cy="2867153"/>
          <a:chOff x="7038975" y="2438272"/>
          <a:chExt cx="2752725" cy="2867153"/>
        </a:xfrm>
      </xdr:grpSpPr>
      <xdr:sp macro="" textlink="">
        <xdr:nvSpPr>
          <xdr:cNvPr id="66" name="Rectangle: Rounded Corners 65">
            <a:extLst>
              <a:ext uri="{FF2B5EF4-FFF2-40B4-BE49-F238E27FC236}">
                <a16:creationId xmlns:a16="http://schemas.microsoft.com/office/drawing/2014/main" id="{98D8E0E6-B22C-4D2D-AC44-CC322C9193E7}"/>
              </a:ext>
            </a:extLst>
          </xdr:cNvPr>
          <xdr:cNvSpPr/>
        </xdr:nvSpPr>
        <xdr:spPr>
          <a:xfrm>
            <a:off x="7038975" y="2438272"/>
            <a:ext cx="2752725" cy="2867153"/>
          </a:xfrm>
          <a:prstGeom prst="roundRect">
            <a:avLst/>
          </a:prstGeom>
          <a:solidFill>
            <a:schemeClr val="accent6">
              <a:lumMod val="40000"/>
              <a:lumOff val="60000"/>
            </a:schemeClr>
          </a:solidFill>
          <a:effectLst>
            <a:softEdge rad="12700"/>
          </a:effectLst>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graphicFrame macro="">
        <xdr:nvGraphicFramePr>
          <xdr:cNvPr id="71" name="Chart 15">
            <a:extLst>
              <a:ext uri="{FF2B5EF4-FFF2-40B4-BE49-F238E27FC236}">
                <a16:creationId xmlns:a16="http://schemas.microsoft.com/office/drawing/2014/main" id="{FBFE1344-602F-0197-DA53-450A82146E3D}"/>
              </a:ext>
            </a:extLst>
          </xdr:cNvPr>
          <xdr:cNvGraphicFramePr/>
        </xdr:nvGraphicFramePr>
        <xdr:xfrm>
          <a:off x="7086601" y="2466975"/>
          <a:ext cx="2657474" cy="2781300"/>
        </xdr:xfrm>
        <a:graphic>
          <a:graphicData uri="http://schemas.openxmlformats.org/drawingml/2006/chart">
            <c:chart xmlns:c="http://schemas.openxmlformats.org/drawingml/2006/chart" xmlns:r="http://schemas.openxmlformats.org/officeDocument/2006/relationships" r:id="rId3"/>
          </a:graphicData>
        </a:graphic>
      </xdr:graphicFrame>
    </xdr:grpSp>
    <xdr:clientData/>
  </xdr:twoCellAnchor>
  <xdr:twoCellAnchor>
    <xdr:from>
      <xdr:col>7</xdr:col>
      <xdr:colOff>1123951</xdr:colOff>
      <xdr:row>6</xdr:row>
      <xdr:rowOff>295275</xdr:rowOff>
    </xdr:from>
    <xdr:to>
      <xdr:col>9</xdr:col>
      <xdr:colOff>1238250</xdr:colOff>
      <xdr:row>15</xdr:row>
      <xdr:rowOff>19050</xdr:rowOff>
    </xdr:to>
    <xdr:grpSp>
      <xdr:nvGrpSpPr>
        <xdr:cNvPr id="9" name="Group 8">
          <a:extLst>
            <a:ext uri="{FF2B5EF4-FFF2-40B4-BE49-F238E27FC236}">
              <a16:creationId xmlns:a16="http://schemas.microsoft.com/office/drawing/2014/main" id="{D136AE3F-F983-AC4B-8FFA-FF5A238FC685}"/>
            </a:ext>
          </a:extLst>
        </xdr:cNvPr>
        <xdr:cNvGrpSpPr/>
      </xdr:nvGrpSpPr>
      <xdr:grpSpPr>
        <a:xfrm>
          <a:off x="9858376" y="2409825"/>
          <a:ext cx="2609849" cy="2895600"/>
          <a:chOff x="9858376" y="2409825"/>
          <a:chExt cx="2609849" cy="2895600"/>
        </a:xfrm>
      </xdr:grpSpPr>
      <xdr:sp macro="" textlink="">
        <xdr:nvSpPr>
          <xdr:cNvPr id="67" name="Rectangle: Rounded Corners 66">
            <a:extLst>
              <a:ext uri="{FF2B5EF4-FFF2-40B4-BE49-F238E27FC236}">
                <a16:creationId xmlns:a16="http://schemas.microsoft.com/office/drawing/2014/main" id="{3F944BAC-41D0-4007-B836-4BD3A11D7638}"/>
              </a:ext>
            </a:extLst>
          </xdr:cNvPr>
          <xdr:cNvSpPr/>
        </xdr:nvSpPr>
        <xdr:spPr>
          <a:xfrm>
            <a:off x="9886950" y="2409825"/>
            <a:ext cx="2581275" cy="2895600"/>
          </a:xfrm>
          <a:prstGeom prst="roundRect">
            <a:avLst/>
          </a:prstGeom>
          <a:solidFill>
            <a:schemeClr val="accent6">
              <a:lumMod val="40000"/>
              <a:lumOff val="60000"/>
            </a:schemeClr>
          </a:solidFill>
          <a:effectLst>
            <a:softEdge rad="12700"/>
          </a:effectLst>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graphicFrame macro="">
        <xdr:nvGraphicFramePr>
          <xdr:cNvPr id="2" name="Chart 1">
            <a:extLst>
              <a:ext uri="{FF2B5EF4-FFF2-40B4-BE49-F238E27FC236}">
                <a16:creationId xmlns:a16="http://schemas.microsoft.com/office/drawing/2014/main" id="{D8AF49B4-3843-DC32-15B8-82A95C20ACD1}"/>
              </a:ext>
            </a:extLst>
          </xdr:cNvPr>
          <xdr:cNvGraphicFramePr/>
        </xdr:nvGraphicFramePr>
        <xdr:xfrm>
          <a:off x="9858376" y="2562224"/>
          <a:ext cx="2590799" cy="2628901"/>
        </xdr:xfrm>
        <a:graphic>
          <a:graphicData uri="http://schemas.openxmlformats.org/drawingml/2006/chart">
            <c:chart xmlns:c="http://schemas.openxmlformats.org/drawingml/2006/chart" xmlns:r="http://schemas.openxmlformats.org/officeDocument/2006/relationships" r:id="rId4"/>
          </a:graphicData>
        </a:graphic>
      </xdr:graphicFrame>
    </xdr:grpSp>
    <xdr:clientData/>
  </xdr:twoCellAnchor>
</xdr:wsDr>
</file>

<file path=xl/pivotCache/pivotCacheDefinition1.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Oluwaseyi Ajayi" refreshedDate="46058.372465509259" backgroundQuery="1" createdVersion="8" refreshedVersion="8" minRefreshableVersion="3" recordCount="0" supportSubquery="1" supportAdvancedDrill="1" xr:uid="{B5EC3E6C-4415-4917-B325-A747E3B68493}">
  <cacheSource type="external" connectionId="1"/>
  <cacheFields count="4">
    <cacheField name="[tblInventory].[ProductName].[ProductName]" caption="ProductName" numFmtId="0" hierarchy="17" level="1">
      <sharedItems count="2">
        <s v="Bottle Water"/>
        <s v="Energy Drink"/>
      </sharedItems>
    </cacheField>
    <cacheField name="[tblInventory].[Stock Status].[Stock Status]" caption="Stock Status" numFmtId="0" hierarchy="22" level="1">
      <sharedItems containsSemiMixedTypes="0" containsNonDate="0" containsString="0"/>
    </cacheField>
    <cacheField name="[Measures].[Count of StockBalance]" caption="Count of StockBalance" numFmtId="0" hierarchy="47" level="32767"/>
    <cacheField name="[tblSales].[ProductName].[ProductName]" caption="ProductName" numFmtId="0" hierarchy="26" level="1">
      <sharedItems containsSemiMixedTypes="0" containsNonDate="0" containsString="0"/>
    </cacheField>
  </cacheFields>
  <cacheHierarchies count="50">
    <cacheHierarchy uniqueName="[Calender].[Date]" caption="Date" attribute="1" time="1" defaultMemberUniqueName="[Calender].[Date].[All]" allUniqueName="[Calender].[Date].[All]" dimensionUniqueName="[Calender]" displayFolder="" count="0" memberValueDatatype="7" unbalanced="0"/>
    <cacheHierarchy uniqueName="[Calender].[Year]" caption="Year" attribute="1" defaultMemberUniqueName="[Calender].[Year].[All]" allUniqueName="[Calender].[Year].[All]" dimensionUniqueName="[Calender]" displayFolder="" count="0" memberValueDatatype="20" unbalanced="0"/>
    <cacheHierarchy uniqueName="[Calender].[Month]" caption="Month" attribute="1" defaultMemberUniqueName="[Calender].[Month].[All]" allUniqueName="[Calender].[Month].[All]" dimensionUniqueName="[Calender]" displayFolder="" count="0" memberValueDatatype="130" unbalanced="0"/>
    <cacheHierarchy uniqueName="[Calender].[Month No]" caption="Month No" attribute="1" defaultMemberUniqueName="[Calender].[Month No].[All]" allUniqueName="[Calender].[Month No].[All]" dimensionUniqueName="[Calender]" displayFolder="" count="0" memberValueDatatype="20" unbalanced="0"/>
    <cacheHierarchy uniqueName="[Calender].[Day]" caption="Day" attribute="1" defaultMemberUniqueName="[Calender].[Day].[All]" allUniqueName="[Calender].[Day].[All]" dimensionUniqueName="[Calender]" displayFolder="" count="0" memberValueDatatype="20" unbalanced="0"/>
    <cacheHierarchy uniqueName="[Calender].[Date (Year)]" caption="Date (Year)" attribute="1" defaultMemberUniqueName="[Calender].[Date (Year)].[All]" allUniqueName="[Calender].[Date (Year)].[All]" dimensionUniqueName="[Calender]" displayFolder="" count="0" memberValueDatatype="130" unbalanced="0"/>
    <cacheHierarchy uniqueName="[Calender].[Date (Quarter)]" caption="Date (Quarter)" attribute="1" defaultMemberUniqueName="[Calender].[Date (Quarter)].[All]" allUniqueName="[Calender].[Date (Quarter)].[All]" dimensionUniqueName="[Calender]" displayFolder="" count="0" memberValueDatatype="130" unbalanced="0"/>
    <cacheHierarchy uniqueName="[Calender].[Date (Month)]" caption="Date (Month)" attribute="1" defaultMemberUniqueName="[Calender].[Date (Month)].[All]" allUniqueName="[Calender].[Date (Month)].[All]" dimensionUniqueName="[Calender]" displayFolder="" count="0" memberValueDatatype="130" unbalanced="0"/>
    <cacheHierarchy uniqueName="[Calender].[Date (Day)]" caption="Date (Day)" attribute="1" defaultMemberUniqueName="[Calender].[Date (Day)].[All]" allUniqueName="[Calender].[Date (Day)].[All]" dimensionUniqueName="[Calender]" displayFolder="" count="0" memberValueDatatype="130" unbalanced="0"/>
    <cacheHierarchy uniqueName="[tblExpenses].[Date]" caption="Date" attribute="1" time="1" defaultMemberUniqueName="[tblExpenses].[Date].[All]" allUniqueName="[tblExpenses].[Date].[All]" dimensionUniqueName="[tblExpenses]" displayFolder="" count="0" memberValueDatatype="7" unbalanced="0"/>
    <cacheHierarchy uniqueName="[tblExpenses].[OutletID]" caption="OutletID" attribute="1" defaultMemberUniqueName="[tblExpenses].[OutletID].[All]" allUniqueName="[tblExpenses].[OutletID].[All]" dimensionUniqueName="[tblExpenses]" displayFolder="" count="0" memberValueDatatype="130" unbalanced="0"/>
    <cacheHierarchy uniqueName="[tblExpenses].[Category]" caption="Category" attribute="1" defaultMemberUniqueName="[tblExpenses].[Category].[All]" allUniqueName="[tblExpenses].[Category].[All]" dimensionUniqueName="[tblExpenses]" displayFolder="" count="0" memberValueDatatype="130" unbalanced="0"/>
    <cacheHierarchy uniqueName="[tblExpenses].[Amount]" caption="Amount" attribute="1" defaultMemberUniqueName="[tblExpenses].[Amount].[All]" allUniqueName="[tblExpenses].[Amount].[All]" dimensionUniqueName="[tblExpenses]" displayFolder="" count="0" memberValueDatatype="20" unbalanced="0"/>
    <cacheHierarchy uniqueName="[tblExpenses].[Notes]" caption="Notes" attribute="1" defaultMemberUniqueName="[tblExpenses].[Notes].[All]" allUniqueName="[tblExpenses].[Notes].[All]" dimensionUniqueName="[tblExpenses]" displayFolder="" count="0" memberValueDatatype="130" unbalanced="0"/>
    <cacheHierarchy uniqueName="[tblInventory].[Date]" caption="Date" attribute="1" time="1" defaultMemberUniqueName="[tblInventory].[Date].[All]" allUniqueName="[tblInventory].[Date].[All]" dimensionUniqueName="[tblInventory]" displayFolder="" count="0" memberValueDatatype="7" unbalanced="0"/>
    <cacheHierarchy uniqueName="[tblInventory].[OutletID]" caption="OutletID" attribute="1" defaultMemberUniqueName="[tblInventory].[OutletID].[All]" allUniqueName="[tblInventory].[OutletID].[All]" dimensionUniqueName="[tblInventory]" displayFolder="" count="0" memberValueDatatype="130" unbalanced="0"/>
    <cacheHierarchy uniqueName="[tblInventory].[ProductID]" caption="ProductID" attribute="1" defaultMemberUniqueName="[tblInventory].[ProductID].[All]" allUniqueName="[tblInventory].[ProductID].[All]" dimensionUniqueName="[tblInventory]" displayFolder="" count="0" memberValueDatatype="130" unbalanced="0"/>
    <cacheHierarchy uniqueName="[tblInventory].[ProductName]" caption="ProductName" attribute="1" defaultMemberUniqueName="[tblInventory].[ProductName].[All]" allUniqueName="[tblInventory].[ProductName].[All]" dimensionUniqueName="[tblInventory]" displayFolder="" count="2" memberValueDatatype="130" unbalanced="0">
      <fieldsUsage count="2">
        <fieldUsage x="-1"/>
        <fieldUsage x="0"/>
      </fieldsUsage>
    </cacheHierarchy>
    <cacheHierarchy uniqueName="[tblInventory].[StockIn]" caption="StockIn" attribute="1" defaultMemberUniqueName="[tblInventory].[StockIn].[All]" allUniqueName="[tblInventory].[StockIn].[All]" dimensionUniqueName="[tblInventory]" displayFolder="" count="0" memberValueDatatype="20" unbalanced="0"/>
    <cacheHierarchy uniqueName="[tblInventory].[StockOut]" caption="StockOut" attribute="1" defaultMemberUniqueName="[tblInventory].[StockOut].[All]" allUniqueName="[tblInventory].[StockOut].[All]" dimensionUniqueName="[tblInventory]" displayFolder="" count="0" memberValueDatatype="20" unbalanced="0"/>
    <cacheHierarchy uniqueName="[tblInventory].[StockBalance]" caption="StockBalance" attribute="1" defaultMemberUniqueName="[tblInventory].[StockBalance].[All]" allUniqueName="[tblInventory].[StockBalance].[All]" dimensionUniqueName="[tblInventory]" displayFolder="" count="0" memberValueDatatype="20" unbalanced="0"/>
    <cacheHierarchy uniqueName="[tblInventory].[ReorderLevel]" caption="ReorderLevel" attribute="1" defaultMemberUniqueName="[tblInventory].[ReorderLevel].[All]" allUniqueName="[tblInventory].[ReorderLevel].[All]" dimensionUniqueName="[tblInventory]" displayFolder="" count="0" memberValueDatatype="20" unbalanced="0"/>
    <cacheHierarchy uniqueName="[tblInventory].[Stock Status]" caption="Stock Status" attribute="1" defaultMemberUniqueName="[tblInventory].[Stock Status].[All]" allUniqueName="[tblInventory].[Stock Status].[All]" dimensionUniqueName="[tblInventory]" displayFolder="" count="2" memberValueDatatype="130" unbalanced="0">
      <fieldsUsage count="2">
        <fieldUsage x="-1"/>
        <fieldUsage x="1"/>
      </fieldsUsage>
    </cacheHierarchy>
    <cacheHierarchy uniqueName="[tblSales].[Date]" caption="Date" attribute="1" time="1" defaultMemberUniqueName="[tblSales].[Date].[All]" allUniqueName="[tblSales].[Date].[All]" dimensionUniqueName="[tblSales]" displayFolder="" count="0" memberValueDatatype="7" unbalanced="0"/>
    <cacheHierarchy uniqueName="[tblSales].[InvoiceID]" caption="InvoiceID" attribute="1" defaultMemberUniqueName="[tblSales].[InvoiceID].[All]" allUniqueName="[tblSales].[InvoiceID].[All]" dimensionUniqueName="[tblSales]" displayFolder="" count="0" memberValueDatatype="130" unbalanced="0"/>
    <cacheHierarchy uniqueName="[tblSales].[ProductID]" caption="ProductID" attribute="1" defaultMemberUniqueName="[tblSales].[ProductID].[All]" allUniqueName="[tblSales].[ProductID].[All]" dimensionUniqueName="[tblSales]" displayFolder="" count="0" memberValueDatatype="130" unbalanced="0"/>
    <cacheHierarchy uniqueName="[tblSales].[ProductName]" caption="ProductName" attribute="1" defaultMemberUniqueName="[tblSales].[ProductName].[All]" allUniqueName="[tblSales].[ProductName].[All]" dimensionUniqueName="[tblSales]" displayFolder="" count="2" memberValueDatatype="130" unbalanced="0">
      <fieldsUsage count="2">
        <fieldUsage x="-1"/>
        <fieldUsage x="3"/>
      </fieldsUsage>
    </cacheHierarchy>
    <cacheHierarchy uniqueName="[tblSales].[QtySold]" caption="QtySold" attribute="1" defaultMemberUniqueName="[tblSales].[QtySold].[All]" allUniqueName="[tblSales].[QtySold].[All]" dimensionUniqueName="[tblSales]" displayFolder="" count="0" memberValueDatatype="20" unbalanced="0"/>
    <cacheHierarchy uniqueName="[tblSales].[UnitPrice]" caption="UnitPrice" attribute="1" defaultMemberUniqueName="[tblSales].[UnitPrice].[All]" allUniqueName="[tblSales].[UnitPrice].[All]" dimensionUniqueName="[tblSales]" displayFolder="" count="0" memberValueDatatype="20" unbalanced="0"/>
    <cacheHierarchy uniqueName="[tblSales].[CostPerProduct]" caption="CostPerProduct" attribute="1" defaultMemberUniqueName="[tblSales].[CostPerProduct].[All]" allUniqueName="[tblSales].[CostPerProduct].[All]" dimensionUniqueName="[tblSales]" displayFolder="" count="0" memberValueDatatype="20" unbalanced="0"/>
    <cacheHierarchy uniqueName="[tblSales].[Sales]" caption="Sales" attribute="1" defaultMemberUniqueName="[tblSales].[Sales].[All]" allUniqueName="[tblSales].[Sales].[All]" dimensionUniqueName="[tblSales]" displayFolder="" count="0" memberValueDatatype="20" unbalanced="0"/>
    <cacheHierarchy uniqueName="[tblSales].[Cost]" caption="Cost" attribute="1" defaultMemberUniqueName="[tblSales].[Cost].[All]" allUniqueName="[tblSales].[Cost].[All]" dimensionUniqueName="[tblSales]" displayFolder="" count="0" memberValueDatatype="20" unbalanced="0"/>
    <cacheHierarchy uniqueName="[tblSales].[Profit]" caption="Profit" attribute="1" defaultMemberUniqueName="[tblSales].[Profit].[All]" allUniqueName="[tblSales].[Profit].[All]" dimensionUniqueName="[tblSales]" displayFolder="" count="0" memberValueDatatype="20" unbalanced="0"/>
    <cacheHierarchy uniqueName="[tblSales].[Customer]" caption="Customer" attribute="1" defaultMemberUniqueName="[tblSales].[Customer].[All]" allUniqueName="[tblSales].[Customer].[All]" dimensionUniqueName="[tblSales]" displayFolder="" count="0" memberValueDatatype="130" unbalanced="0"/>
    <cacheHierarchy uniqueName="[tblSales].[PaymentMethod]" caption="PaymentMethod" attribute="1" defaultMemberUniqueName="[tblSales].[PaymentMethod].[All]" allUniqueName="[tblSales].[PaymentMethod].[All]" dimensionUniqueName="[tblSales]" displayFolder="" count="0" memberValueDatatype="130" unbalanced="0"/>
    <cacheHierarchy uniqueName="[Calender].[Date (Day Index)]" caption="Date (Day Index)" attribute="1" defaultMemberUniqueName="[Calender].[Date (Day Index)].[All]" allUniqueName="[Calender].[Date (Day Index)].[All]" dimensionUniqueName="[Calender]" displayFolder="" count="0" memberValueDatatype="5" unbalanced="0" hidden="1"/>
    <cacheHierarchy uniqueName="[Calender].[Date (Month Index)]" caption="Date (Month Index)" attribute="1" defaultMemberUniqueName="[Calender].[Date (Month Index)].[All]" allUniqueName="[Calender].[Date (Month Index)].[All]" dimensionUniqueName="[Calender]" displayFolder="" count="0" memberValueDatatype="20" unbalanced="0" hidden="1"/>
    <cacheHierarchy uniqueName="[Measures].[__XL_Count tblSales]" caption="__XL_Count tblSales" measure="1" displayFolder="" measureGroup="tblSales" count="0" hidden="1"/>
    <cacheHierarchy uniqueName="[Measures].[__XL_Count tblExpenses]" caption="__XL_Count tblExpenses" measure="1" displayFolder="" measureGroup="tblExpenses" count="0" hidden="1"/>
    <cacheHierarchy uniqueName="[Measures].[__XL_Count tblInventory]" caption="__XL_Count tblInventory" measure="1" displayFolder="" measureGroup="tblInventory" count="0" hidden="1"/>
    <cacheHierarchy uniqueName="[Measures].[__XL_Count Calender]" caption="__XL_Count Calender" measure="1" displayFolder="" measureGroup="Calender" count="0" hidden="1"/>
    <cacheHierarchy uniqueName="[Measures].[__No measures defined]" caption="__No measures defined" measure="1" displayFolder="" count="0" hidden="1"/>
    <cacheHierarchy uniqueName="[Measures].[Sum of Sales]" caption="Sum of Sales" measure="1" displayFolder="" measureGroup="tblSales" count="0" hidden="1">
      <extLst>
        <ext xmlns:x15="http://schemas.microsoft.com/office/spreadsheetml/2010/11/main" uri="{B97F6D7D-B522-45F9-BDA1-12C45D357490}">
          <x15:cacheHierarchy aggregatedColumn="30"/>
        </ext>
      </extLst>
    </cacheHierarchy>
    <cacheHierarchy uniqueName="[Measures].[Sum of Amount]" caption="Sum of Amount" measure="1" displayFolder="" measureGroup="tblExpenses" count="0" hidden="1">
      <extLst>
        <ext xmlns:x15="http://schemas.microsoft.com/office/spreadsheetml/2010/11/main" uri="{B97F6D7D-B522-45F9-BDA1-12C45D357490}">
          <x15:cacheHierarchy aggregatedColumn="12"/>
        </ext>
      </extLst>
    </cacheHierarchy>
    <cacheHierarchy uniqueName="[Measures].[Sum of Profit]" caption="Sum of Profit" measure="1" displayFolder="" measureGroup="tblSales" count="0" hidden="1">
      <extLst>
        <ext xmlns:x15="http://schemas.microsoft.com/office/spreadsheetml/2010/11/main" uri="{B97F6D7D-B522-45F9-BDA1-12C45D357490}">
          <x15:cacheHierarchy aggregatedColumn="32"/>
        </ext>
      </extLst>
    </cacheHierarchy>
    <cacheHierarchy uniqueName="[Measures].[Sum of StockBalance]" caption="Sum of StockBalance" measure="1" displayFolder="" measureGroup="tblInventory" count="0" hidden="1">
      <extLst>
        <ext xmlns:x15="http://schemas.microsoft.com/office/spreadsheetml/2010/11/main" uri="{B97F6D7D-B522-45F9-BDA1-12C45D357490}">
          <x15:cacheHierarchy aggregatedColumn="20"/>
        </ext>
      </extLst>
    </cacheHierarchy>
    <cacheHierarchy uniqueName="[Measures].[Sum of ReorderLevel]" caption="Sum of ReorderLevel" measure="1" displayFolder="" measureGroup="tblInventory" count="0" hidden="1">
      <extLst>
        <ext xmlns:x15="http://schemas.microsoft.com/office/spreadsheetml/2010/11/main" uri="{B97F6D7D-B522-45F9-BDA1-12C45D357490}">
          <x15:cacheHierarchy aggregatedColumn="21"/>
        </ext>
      </extLst>
    </cacheHierarchy>
    <cacheHierarchy uniqueName="[Measures].[Count of StockBalance]" caption="Count of StockBalance" measure="1" displayFolder="" measureGroup="tblInventory" count="0" oneField="1" hidden="1">
      <fieldsUsage count="1">
        <fieldUsage x="2"/>
      </fieldsUsage>
      <extLst>
        <ext xmlns:x15="http://schemas.microsoft.com/office/spreadsheetml/2010/11/main" uri="{B97F6D7D-B522-45F9-BDA1-12C45D357490}">
          <x15:cacheHierarchy aggregatedColumn="20"/>
        </ext>
      </extLst>
    </cacheHierarchy>
    <cacheHierarchy uniqueName="[Measures].[Max of StockBalance]" caption="Max of StockBalance" measure="1" displayFolder="" measureGroup="tblInventory" count="0" hidden="1">
      <extLst>
        <ext xmlns:x15="http://schemas.microsoft.com/office/spreadsheetml/2010/11/main" uri="{B97F6D7D-B522-45F9-BDA1-12C45D357490}">
          <x15:cacheHierarchy aggregatedColumn="20"/>
        </ext>
      </extLst>
    </cacheHierarchy>
    <cacheHierarchy uniqueName="[Measures].[Max of ReorderLevel]" caption="Max of ReorderLevel" measure="1" displayFolder="" measureGroup="tblInventory" count="0" hidden="1">
      <extLst>
        <ext xmlns:x15="http://schemas.microsoft.com/office/spreadsheetml/2010/11/main" uri="{B97F6D7D-B522-45F9-BDA1-12C45D357490}">
          <x15:cacheHierarchy aggregatedColumn="21"/>
        </ext>
      </extLst>
    </cacheHierarchy>
  </cacheHierarchies>
  <kpis count="0"/>
  <dimensions count="5">
    <dimension name="Calender" uniqueName="[Calender]" caption="Calender"/>
    <dimension measure="1" name="Measures" uniqueName="[Measures]" caption="Measures"/>
    <dimension name="tblExpenses" uniqueName="[tblExpenses]" caption="tblExpenses"/>
    <dimension name="tblInventory" uniqueName="[tblInventory]" caption="tblInventory"/>
    <dimension name="tblSales" uniqueName="[tblSales]" caption="tblSales"/>
  </dimensions>
  <measureGroups count="4">
    <measureGroup name="Calender" caption="Calender"/>
    <measureGroup name="tblExpenses" caption="tblExpenses"/>
    <measureGroup name="tblInventory" caption="tblInventory"/>
    <measureGroup name="tblSales" caption="tblSales"/>
  </measureGroups>
  <maps count="7">
    <map measureGroup="0" dimension="0"/>
    <map measureGroup="1" dimension="0"/>
    <map measureGroup="1" dimension="2"/>
    <map measureGroup="2" dimension="0"/>
    <map measureGroup="2" dimension="3"/>
    <map measureGroup="3" dimension="0"/>
    <map measureGroup="3" dimension="4"/>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2.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Oluwaseyi Ajayi" refreshedDate="46058.372476388889" backgroundQuery="1" createdVersion="8" refreshedVersion="8" minRefreshableVersion="3" recordCount="0" supportSubquery="1" supportAdvancedDrill="1" xr:uid="{D5FE368E-1A26-4FC2-A391-D5BAF2F01CB2}">
  <cacheSource type="external" connectionId="1"/>
  <cacheFields count="3">
    <cacheField name="[tblInventory].[ProductName].[ProductName]" caption="ProductName" numFmtId="0" hierarchy="17" level="1">
      <sharedItems containsBlank="1" count="4">
        <m/>
        <s v="Bottle Water"/>
        <s v="Canned Soda"/>
        <s v="Energy Drink"/>
      </sharedItems>
    </cacheField>
    <cacheField name="[Measures].[Sum of StockBalance]" caption="Sum of StockBalance" numFmtId="0" hierarchy="45" level="32767"/>
    <cacheField name="[Measures].[Sum of ReorderLevel]" caption="Sum of ReorderLevel" numFmtId="0" hierarchy="46" level="32767"/>
  </cacheFields>
  <cacheHierarchies count="50">
    <cacheHierarchy uniqueName="[Calender].[Date]" caption="Date" attribute="1" time="1" defaultMemberUniqueName="[Calender].[Date].[All]" allUniqueName="[Calender].[Date].[All]" dimensionUniqueName="[Calender]" displayFolder="" count="0" memberValueDatatype="7" unbalanced="0"/>
    <cacheHierarchy uniqueName="[Calender].[Year]" caption="Year" attribute="1" defaultMemberUniqueName="[Calender].[Year].[All]" allUniqueName="[Calender].[Year].[All]" dimensionUniqueName="[Calender]" displayFolder="" count="0" memberValueDatatype="20" unbalanced="0"/>
    <cacheHierarchy uniqueName="[Calender].[Month]" caption="Month" attribute="1" defaultMemberUniqueName="[Calender].[Month].[All]" allUniqueName="[Calender].[Month].[All]" dimensionUniqueName="[Calender]" displayFolder="" count="0" memberValueDatatype="130" unbalanced="0"/>
    <cacheHierarchy uniqueName="[Calender].[Month No]" caption="Month No" attribute="1" defaultMemberUniqueName="[Calender].[Month No].[All]" allUniqueName="[Calender].[Month No].[All]" dimensionUniqueName="[Calender]" displayFolder="" count="0" memberValueDatatype="20" unbalanced="0"/>
    <cacheHierarchy uniqueName="[Calender].[Day]" caption="Day" attribute="1" defaultMemberUniqueName="[Calender].[Day].[All]" allUniqueName="[Calender].[Day].[All]" dimensionUniqueName="[Calender]" displayFolder="" count="0" memberValueDatatype="20" unbalanced="0"/>
    <cacheHierarchy uniqueName="[Calender].[Date (Year)]" caption="Date (Year)" attribute="1" defaultMemberUniqueName="[Calender].[Date (Year)].[All]" allUniqueName="[Calender].[Date (Year)].[All]" dimensionUniqueName="[Calender]" displayFolder="" count="0" memberValueDatatype="130" unbalanced="0"/>
    <cacheHierarchy uniqueName="[Calender].[Date (Quarter)]" caption="Date (Quarter)" attribute="1" defaultMemberUniqueName="[Calender].[Date (Quarter)].[All]" allUniqueName="[Calender].[Date (Quarter)].[All]" dimensionUniqueName="[Calender]" displayFolder="" count="0" memberValueDatatype="130" unbalanced="0"/>
    <cacheHierarchy uniqueName="[Calender].[Date (Month)]" caption="Date (Month)" attribute="1" defaultMemberUniqueName="[Calender].[Date (Month)].[All]" allUniqueName="[Calender].[Date (Month)].[All]" dimensionUniqueName="[Calender]" displayFolder="" count="0" memberValueDatatype="130" unbalanced="0"/>
    <cacheHierarchy uniqueName="[Calender].[Date (Day)]" caption="Date (Day)" attribute="1" defaultMemberUniqueName="[Calender].[Date (Day)].[All]" allUniqueName="[Calender].[Date (Day)].[All]" dimensionUniqueName="[Calender]" displayFolder="" count="0" memberValueDatatype="130" unbalanced="0"/>
    <cacheHierarchy uniqueName="[tblExpenses].[Date]" caption="Date" attribute="1" time="1" defaultMemberUniqueName="[tblExpenses].[Date].[All]" allUniqueName="[tblExpenses].[Date].[All]" dimensionUniqueName="[tblExpenses]" displayFolder="" count="0" memberValueDatatype="7" unbalanced="0"/>
    <cacheHierarchy uniqueName="[tblExpenses].[OutletID]" caption="OutletID" attribute="1" defaultMemberUniqueName="[tblExpenses].[OutletID].[All]" allUniqueName="[tblExpenses].[OutletID].[All]" dimensionUniqueName="[tblExpenses]" displayFolder="" count="0" memberValueDatatype="130" unbalanced="0"/>
    <cacheHierarchy uniqueName="[tblExpenses].[Category]" caption="Category" attribute="1" defaultMemberUniqueName="[tblExpenses].[Category].[All]" allUniqueName="[tblExpenses].[Category].[All]" dimensionUniqueName="[tblExpenses]" displayFolder="" count="0" memberValueDatatype="130" unbalanced="0"/>
    <cacheHierarchy uniqueName="[tblExpenses].[Amount]" caption="Amount" attribute="1" defaultMemberUniqueName="[tblExpenses].[Amount].[All]" allUniqueName="[tblExpenses].[Amount].[All]" dimensionUniqueName="[tblExpenses]" displayFolder="" count="0" memberValueDatatype="20" unbalanced="0"/>
    <cacheHierarchy uniqueName="[tblExpenses].[Notes]" caption="Notes" attribute="1" defaultMemberUniqueName="[tblExpenses].[Notes].[All]" allUniqueName="[tblExpenses].[Notes].[All]" dimensionUniqueName="[tblExpenses]" displayFolder="" count="0" memberValueDatatype="130" unbalanced="0"/>
    <cacheHierarchy uniqueName="[tblInventory].[Date]" caption="Date" attribute="1" time="1" defaultMemberUniqueName="[tblInventory].[Date].[All]" allUniqueName="[tblInventory].[Date].[All]" dimensionUniqueName="[tblInventory]" displayFolder="" count="0" memberValueDatatype="7" unbalanced="0"/>
    <cacheHierarchy uniqueName="[tblInventory].[OutletID]" caption="OutletID" attribute="1" defaultMemberUniqueName="[tblInventory].[OutletID].[All]" allUniqueName="[tblInventory].[OutletID].[All]" dimensionUniqueName="[tblInventory]" displayFolder="" count="0" memberValueDatatype="130" unbalanced="0"/>
    <cacheHierarchy uniqueName="[tblInventory].[ProductID]" caption="ProductID" attribute="1" defaultMemberUniqueName="[tblInventory].[ProductID].[All]" allUniqueName="[tblInventory].[ProductID].[All]" dimensionUniqueName="[tblInventory]" displayFolder="" count="0" memberValueDatatype="130" unbalanced="0"/>
    <cacheHierarchy uniqueName="[tblInventory].[ProductName]" caption="ProductName" attribute="1" defaultMemberUniqueName="[tblInventory].[ProductName].[All]" allUniqueName="[tblInventory].[ProductName].[All]" dimensionUniqueName="[tblInventory]" displayFolder="" count="2" memberValueDatatype="130" unbalanced="0">
      <fieldsUsage count="2">
        <fieldUsage x="-1"/>
        <fieldUsage x="0"/>
      </fieldsUsage>
    </cacheHierarchy>
    <cacheHierarchy uniqueName="[tblInventory].[StockIn]" caption="StockIn" attribute="1" defaultMemberUniqueName="[tblInventory].[StockIn].[All]" allUniqueName="[tblInventory].[StockIn].[All]" dimensionUniqueName="[tblInventory]" displayFolder="" count="0" memberValueDatatype="20" unbalanced="0"/>
    <cacheHierarchy uniqueName="[tblInventory].[StockOut]" caption="StockOut" attribute="1" defaultMemberUniqueName="[tblInventory].[StockOut].[All]" allUniqueName="[tblInventory].[StockOut].[All]" dimensionUniqueName="[tblInventory]" displayFolder="" count="0" memberValueDatatype="20" unbalanced="0"/>
    <cacheHierarchy uniqueName="[tblInventory].[StockBalance]" caption="StockBalance" attribute="1" defaultMemberUniqueName="[tblInventory].[StockBalance].[All]" allUniqueName="[tblInventory].[StockBalance].[All]" dimensionUniqueName="[tblInventory]" displayFolder="" count="0" memberValueDatatype="20" unbalanced="0"/>
    <cacheHierarchy uniqueName="[tblInventory].[ReorderLevel]" caption="ReorderLevel" attribute="1" defaultMemberUniqueName="[tblInventory].[ReorderLevel].[All]" allUniqueName="[tblInventory].[ReorderLevel].[All]" dimensionUniqueName="[tblInventory]" displayFolder="" count="0" memberValueDatatype="20" unbalanced="0"/>
    <cacheHierarchy uniqueName="[tblInventory].[Stock Status]" caption="Stock Status" attribute="1" defaultMemberUniqueName="[tblInventory].[Stock Status].[All]" allUniqueName="[tblInventory].[Stock Status].[All]" dimensionUniqueName="[tblInventory]" displayFolder="" count="0" memberValueDatatype="130" unbalanced="0"/>
    <cacheHierarchy uniqueName="[tblSales].[Date]" caption="Date" attribute="1" time="1" defaultMemberUniqueName="[tblSales].[Date].[All]" allUniqueName="[tblSales].[Date].[All]" dimensionUniqueName="[tblSales]" displayFolder="" count="0" memberValueDatatype="7" unbalanced="0"/>
    <cacheHierarchy uniqueName="[tblSales].[InvoiceID]" caption="InvoiceID" attribute="1" defaultMemberUniqueName="[tblSales].[InvoiceID].[All]" allUniqueName="[tblSales].[InvoiceID].[All]" dimensionUniqueName="[tblSales]" displayFolder="" count="0" memberValueDatatype="130" unbalanced="0"/>
    <cacheHierarchy uniqueName="[tblSales].[ProductID]" caption="ProductID" attribute="1" defaultMemberUniqueName="[tblSales].[ProductID].[All]" allUniqueName="[tblSales].[ProductID].[All]" dimensionUniqueName="[tblSales]" displayFolder="" count="0" memberValueDatatype="130" unbalanced="0"/>
    <cacheHierarchy uniqueName="[tblSales].[ProductName]" caption="ProductName" attribute="1" defaultMemberUniqueName="[tblSales].[ProductName].[All]" allUniqueName="[tblSales].[ProductName].[All]" dimensionUniqueName="[tblSales]" displayFolder="" count="0" memberValueDatatype="130" unbalanced="0"/>
    <cacheHierarchy uniqueName="[tblSales].[QtySold]" caption="QtySold" attribute="1" defaultMemberUniqueName="[tblSales].[QtySold].[All]" allUniqueName="[tblSales].[QtySold].[All]" dimensionUniqueName="[tblSales]" displayFolder="" count="0" memberValueDatatype="20" unbalanced="0"/>
    <cacheHierarchy uniqueName="[tblSales].[UnitPrice]" caption="UnitPrice" attribute="1" defaultMemberUniqueName="[tblSales].[UnitPrice].[All]" allUniqueName="[tblSales].[UnitPrice].[All]" dimensionUniqueName="[tblSales]" displayFolder="" count="0" memberValueDatatype="20" unbalanced="0"/>
    <cacheHierarchy uniqueName="[tblSales].[CostPerProduct]" caption="CostPerProduct" attribute="1" defaultMemberUniqueName="[tblSales].[CostPerProduct].[All]" allUniqueName="[tblSales].[CostPerProduct].[All]" dimensionUniqueName="[tblSales]" displayFolder="" count="0" memberValueDatatype="20" unbalanced="0"/>
    <cacheHierarchy uniqueName="[tblSales].[Sales]" caption="Sales" attribute="1" defaultMemberUniqueName="[tblSales].[Sales].[All]" allUniqueName="[tblSales].[Sales].[All]" dimensionUniqueName="[tblSales]" displayFolder="" count="0" memberValueDatatype="20" unbalanced="0"/>
    <cacheHierarchy uniqueName="[tblSales].[Cost]" caption="Cost" attribute="1" defaultMemberUniqueName="[tblSales].[Cost].[All]" allUniqueName="[tblSales].[Cost].[All]" dimensionUniqueName="[tblSales]" displayFolder="" count="0" memberValueDatatype="20" unbalanced="0"/>
    <cacheHierarchy uniqueName="[tblSales].[Profit]" caption="Profit" attribute="1" defaultMemberUniqueName="[tblSales].[Profit].[All]" allUniqueName="[tblSales].[Profit].[All]" dimensionUniqueName="[tblSales]" displayFolder="" count="0" memberValueDatatype="20" unbalanced="0"/>
    <cacheHierarchy uniqueName="[tblSales].[Customer]" caption="Customer" attribute="1" defaultMemberUniqueName="[tblSales].[Customer].[All]" allUniqueName="[tblSales].[Customer].[All]" dimensionUniqueName="[tblSales]" displayFolder="" count="0" memberValueDatatype="130" unbalanced="0"/>
    <cacheHierarchy uniqueName="[tblSales].[PaymentMethod]" caption="PaymentMethod" attribute="1" defaultMemberUniqueName="[tblSales].[PaymentMethod].[All]" allUniqueName="[tblSales].[PaymentMethod].[All]" dimensionUniqueName="[tblSales]" displayFolder="" count="0" memberValueDatatype="130" unbalanced="0"/>
    <cacheHierarchy uniqueName="[Calender].[Date (Day Index)]" caption="Date (Day Index)" attribute="1" defaultMemberUniqueName="[Calender].[Date (Day Index)].[All]" allUniqueName="[Calender].[Date (Day Index)].[All]" dimensionUniqueName="[Calender]" displayFolder="" count="0" memberValueDatatype="5" unbalanced="0" hidden="1"/>
    <cacheHierarchy uniqueName="[Calender].[Date (Month Index)]" caption="Date (Month Index)" attribute="1" defaultMemberUniqueName="[Calender].[Date (Month Index)].[All]" allUniqueName="[Calender].[Date (Month Index)].[All]" dimensionUniqueName="[Calender]" displayFolder="" count="0" memberValueDatatype="20" unbalanced="0" hidden="1"/>
    <cacheHierarchy uniqueName="[Measures].[__XL_Count tblSales]" caption="__XL_Count tblSales" measure="1" displayFolder="" measureGroup="tblSales" count="0" hidden="1"/>
    <cacheHierarchy uniqueName="[Measures].[__XL_Count tblExpenses]" caption="__XL_Count tblExpenses" measure="1" displayFolder="" measureGroup="tblExpenses" count="0" hidden="1"/>
    <cacheHierarchy uniqueName="[Measures].[__XL_Count tblInventory]" caption="__XL_Count tblInventory" measure="1" displayFolder="" measureGroup="tblInventory" count="0" hidden="1"/>
    <cacheHierarchy uniqueName="[Measures].[__XL_Count Calender]" caption="__XL_Count Calender" measure="1" displayFolder="" measureGroup="Calender" count="0" hidden="1"/>
    <cacheHierarchy uniqueName="[Measures].[__No measures defined]" caption="__No measures defined" measure="1" displayFolder="" count="0" hidden="1"/>
    <cacheHierarchy uniqueName="[Measures].[Sum of Sales]" caption="Sum of Sales" measure="1" displayFolder="" measureGroup="tblSales" count="0" hidden="1">
      <extLst>
        <ext xmlns:x15="http://schemas.microsoft.com/office/spreadsheetml/2010/11/main" uri="{B97F6D7D-B522-45F9-BDA1-12C45D357490}">
          <x15:cacheHierarchy aggregatedColumn="30"/>
        </ext>
      </extLst>
    </cacheHierarchy>
    <cacheHierarchy uniqueName="[Measures].[Sum of Amount]" caption="Sum of Amount" measure="1" displayFolder="" measureGroup="tblExpenses" count="0" hidden="1">
      <extLst>
        <ext xmlns:x15="http://schemas.microsoft.com/office/spreadsheetml/2010/11/main" uri="{B97F6D7D-B522-45F9-BDA1-12C45D357490}">
          <x15:cacheHierarchy aggregatedColumn="12"/>
        </ext>
      </extLst>
    </cacheHierarchy>
    <cacheHierarchy uniqueName="[Measures].[Sum of Profit]" caption="Sum of Profit" measure="1" displayFolder="" measureGroup="tblSales" count="0" hidden="1">
      <extLst>
        <ext xmlns:x15="http://schemas.microsoft.com/office/spreadsheetml/2010/11/main" uri="{B97F6D7D-B522-45F9-BDA1-12C45D357490}">
          <x15:cacheHierarchy aggregatedColumn="32"/>
        </ext>
      </extLst>
    </cacheHierarchy>
    <cacheHierarchy uniqueName="[Measures].[Sum of StockBalance]" caption="Sum of StockBalance" measure="1" displayFolder="" measureGroup="tblInventory" count="0" oneField="1" hidden="1">
      <fieldsUsage count="1">
        <fieldUsage x="1"/>
      </fieldsUsage>
      <extLst>
        <ext xmlns:x15="http://schemas.microsoft.com/office/spreadsheetml/2010/11/main" uri="{B97F6D7D-B522-45F9-BDA1-12C45D357490}">
          <x15:cacheHierarchy aggregatedColumn="20"/>
        </ext>
      </extLst>
    </cacheHierarchy>
    <cacheHierarchy uniqueName="[Measures].[Sum of ReorderLevel]" caption="Sum of ReorderLevel" measure="1" displayFolder="" measureGroup="tblInventory" count="0" oneField="1" hidden="1">
      <fieldsUsage count="1">
        <fieldUsage x="2"/>
      </fieldsUsage>
      <extLst>
        <ext xmlns:x15="http://schemas.microsoft.com/office/spreadsheetml/2010/11/main" uri="{B97F6D7D-B522-45F9-BDA1-12C45D357490}">
          <x15:cacheHierarchy aggregatedColumn="21"/>
        </ext>
      </extLst>
    </cacheHierarchy>
    <cacheHierarchy uniqueName="[Measures].[Count of StockBalance]" caption="Count of StockBalance" measure="1" displayFolder="" measureGroup="tblInventory" count="0" hidden="1">
      <extLst>
        <ext xmlns:x15="http://schemas.microsoft.com/office/spreadsheetml/2010/11/main" uri="{B97F6D7D-B522-45F9-BDA1-12C45D357490}">
          <x15:cacheHierarchy aggregatedColumn="20"/>
        </ext>
      </extLst>
    </cacheHierarchy>
    <cacheHierarchy uniqueName="[Measures].[Max of StockBalance]" caption="Max of StockBalance" measure="1" displayFolder="" measureGroup="tblInventory" count="0" hidden="1">
      <extLst>
        <ext xmlns:x15="http://schemas.microsoft.com/office/spreadsheetml/2010/11/main" uri="{B97F6D7D-B522-45F9-BDA1-12C45D357490}">
          <x15:cacheHierarchy aggregatedColumn="20"/>
        </ext>
      </extLst>
    </cacheHierarchy>
    <cacheHierarchy uniqueName="[Measures].[Max of ReorderLevel]" caption="Max of ReorderLevel" measure="1" displayFolder="" measureGroup="tblInventory" count="0" hidden="1">
      <extLst>
        <ext xmlns:x15="http://schemas.microsoft.com/office/spreadsheetml/2010/11/main" uri="{B97F6D7D-B522-45F9-BDA1-12C45D357490}">
          <x15:cacheHierarchy aggregatedColumn="21"/>
        </ext>
      </extLst>
    </cacheHierarchy>
  </cacheHierarchies>
  <kpis count="0"/>
  <dimensions count="5">
    <dimension name="Calender" uniqueName="[Calender]" caption="Calender"/>
    <dimension measure="1" name="Measures" uniqueName="[Measures]" caption="Measures"/>
    <dimension name="tblExpenses" uniqueName="[tblExpenses]" caption="tblExpenses"/>
    <dimension name="tblInventory" uniqueName="[tblInventory]" caption="tblInventory"/>
    <dimension name="tblSales" uniqueName="[tblSales]" caption="tblSales"/>
  </dimensions>
  <measureGroups count="4">
    <measureGroup name="Calender" caption="Calender"/>
    <measureGroup name="tblExpenses" caption="tblExpenses"/>
    <measureGroup name="tblInventory" caption="tblInventory"/>
    <measureGroup name="tblSales" caption="tblSales"/>
  </measureGroups>
  <maps count="7">
    <map measureGroup="0" dimension="0"/>
    <map measureGroup="1" dimension="0"/>
    <map measureGroup="1" dimension="2"/>
    <map measureGroup="2" dimension="0"/>
    <map measureGroup="2" dimension="3"/>
    <map measureGroup="3" dimension="0"/>
    <map measureGroup="3" dimension="4"/>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3.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Oluwaseyi Ajayi" refreshedDate="46058.372611921295" backgroundQuery="1" createdVersion="8" refreshedVersion="8" minRefreshableVersion="3" recordCount="0" supportSubquery="1" supportAdvancedDrill="1" xr:uid="{D0087A3D-C50C-4A8E-BD85-1713FEE6FBF9}">
  <cacheSource type="external" connectionId="1"/>
  <cacheFields count="3">
    <cacheField name="[Measures].[Sum of Sales]" caption="Sum of Sales" numFmtId="0" hierarchy="42" level="32767"/>
    <cacheField name="[tblInventory].[ProductName].[ProductName]" caption="ProductName" numFmtId="0" hierarchy="17" level="1">
      <sharedItems containsSemiMixedTypes="0" containsNonDate="0" containsString="0"/>
    </cacheField>
    <cacheField name="[Calender].[Date].[Date]" caption="Date" numFmtId="0" level="1">
      <sharedItems containsSemiMixedTypes="0" containsNonDate="0" containsString="0"/>
    </cacheField>
  </cacheFields>
  <cacheHierarchies count="50">
    <cacheHierarchy uniqueName="[Calender].[Date]" caption="Date" attribute="1" time="1" defaultMemberUniqueName="[Calender].[Date].[All]" allUniqueName="[Calender].[Date].[All]" dimensionUniqueName="[Calender]" displayFolder="" count="2" memberValueDatatype="7" unbalanced="0">
      <fieldsUsage count="2">
        <fieldUsage x="-1"/>
        <fieldUsage x="2"/>
      </fieldsUsage>
    </cacheHierarchy>
    <cacheHierarchy uniqueName="[Calender].[Year]" caption="Year" attribute="1" defaultMemberUniqueName="[Calender].[Year].[All]" allUniqueName="[Calender].[Year].[All]" dimensionUniqueName="[Calender]" displayFolder="" count="0" memberValueDatatype="20" unbalanced="0"/>
    <cacheHierarchy uniqueName="[Calender].[Month]" caption="Month" attribute="1" defaultMemberUniqueName="[Calender].[Month].[All]" allUniqueName="[Calender].[Month].[All]" dimensionUniqueName="[Calender]" displayFolder="" count="0" memberValueDatatype="130" unbalanced="0"/>
    <cacheHierarchy uniqueName="[Calender].[Month No]" caption="Month No" attribute="1" defaultMemberUniqueName="[Calender].[Month No].[All]" allUniqueName="[Calender].[Month No].[All]" dimensionUniqueName="[Calender]" displayFolder="" count="0" memberValueDatatype="20" unbalanced="0"/>
    <cacheHierarchy uniqueName="[Calender].[Day]" caption="Day" attribute="1" defaultMemberUniqueName="[Calender].[Day].[All]" allUniqueName="[Calender].[Day].[All]" dimensionUniqueName="[Calender]" displayFolder="" count="0" memberValueDatatype="20" unbalanced="0"/>
    <cacheHierarchy uniqueName="[Calender].[Date (Year)]" caption="Date (Year)" attribute="1" defaultMemberUniqueName="[Calender].[Date (Year)].[All]" allUniqueName="[Calender].[Date (Year)].[All]" dimensionUniqueName="[Calender]" displayFolder="" count="0" memberValueDatatype="130" unbalanced="0"/>
    <cacheHierarchy uniqueName="[Calender].[Date (Quarter)]" caption="Date (Quarter)" attribute="1" defaultMemberUniqueName="[Calender].[Date (Quarter)].[All]" allUniqueName="[Calender].[Date (Quarter)].[All]" dimensionUniqueName="[Calender]" displayFolder="" count="0" memberValueDatatype="130" unbalanced="0"/>
    <cacheHierarchy uniqueName="[Calender].[Date (Month)]" caption="Date (Month)" attribute="1" defaultMemberUniqueName="[Calender].[Date (Month)].[All]" allUniqueName="[Calender].[Date (Month)].[All]" dimensionUniqueName="[Calender]" displayFolder="" count="0" memberValueDatatype="130" unbalanced="0"/>
    <cacheHierarchy uniqueName="[Calender].[Date (Day)]" caption="Date (Day)" attribute="1" defaultMemberUniqueName="[Calender].[Date (Day)].[All]" allUniqueName="[Calender].[Date (Day)].[All]" dimensionUniqueName="[Calender]" displayFolder="" count="0" memberValueDatatype="130" unbalanced="0"/>
    <cacheHierarchy uniqueName="[tblExpenses].[Date]" caption="Date" attribute="1" time="1" defaultMemberUniqueName="[tblExpenses].[Date].[All]" allUniqueName="[tblExpenses].[Date].[All]" dimensionUniqueName="[tblExpenses]" displayFolder="" count="0" memberValueDatatype="7" unbalanced="0"/>
    <cacheHierarchy uniqueName="[tblExpenses].[OutletID]" caption="OutletID" attribute="1" defaultMemberUniqueName="[tblExpenses].[OutletID].[All]" allUniqueName="[tblExpenses].[OutletID].[All]" dimensionUniqueName="[tblExpenses]" displayFolder="" count="0" memberValueDatatype="130" unbalanced="0"/>
    <cacheHierarchy uniqueName="[tblExpenses].[Category]" caption="Category" attribute="1" defaultMemberUniqueName="[tblExpenses].[Category].[All]" allUniqueName="[tblExpenses].[Category].[All]" dimensionUniqueName="[tblExpenses]" displayFolder="" count="0" memberValueDatatype="130" unbalanced="0"/>
    <cacheHierarchy uniqueName="[tblExpenses].[Amount]" caption="Amount" attribute="1" defaultMemberUniqueName="[tblExpenses].[Amount].[All]" allUniqueName="[tblExpenses].[Amount].[All]" dimensionUniqueName="[tblExpenses]" displayFolder="" count="0" memberValueDatatype="20" unbalanced="0"/>
    <cacheHierarchy uniqueName="[tblExpenses].[Notes]" caption="Notes" attribute="1" defaultMemberUniqueName="[tblExpenses].[Notes].[All]" allUniqueName="[tblExpenses].[Notes].[All]" dimensionUniqueName="[tblExpenses]" displayFolder="" count="0" memberValueDatatype="130" unbalanced="0"/>
    <cacheHierarchy uniqueName="[tblInventory].[Date]" caption="Date" attribute="1" time="1" defaultMemberUniqueName="[tblInventory].[Date].[All]" allUniqueName="[tblInventory].[Date].[All]" dimensionUniqueName="[tblInventory]" displayFolder="" count="0" memberValueDatatype="7" unbalanced="0"/>
    <cacheHierarchy uniqueName="[tblInventory].[OutletID]" caption="OutletID" attribute="1" defaultMemberUniqueName="[tblInventory].[OutletID].[All]" allUniqueName="[tblInventory].[OutletID].[All]" dimensionUniqueName="[tblInventory]" displayFolder="" count="0" memberValueDatatype="130" unbalanced="0"/>
    <cacheHierarchy uniqueName="[tblInventory].[ProductID]" caption="ProductID" attribute="1" defaultMemberUniqueName="[tblInventory].[ProductID].[All]" allUniqueName="[tblInventory].[ProductID].[All]" dimensionUniqueName="[tblInventory]" displayFolder="" count="0" memberValueDatatype="130" unbalanced="0"/>
    <cacheHierarchy uniqueName="[tblInventory].[ProductName]" caption="ProductName" attribute="1" defaultMemberUniqueName="[tblInventory].[ProductName].[All]" allUniqueName="[tblInventory].[ProductName].[All]" dimensionUniqueName="[tblInventory]" displayFolder="" count="2" memberValueDatatype="130" unbalanced="0">
      <fieldsUsage count="2">
        <fieldUsage x="-1"/>
        <fieldUsage x="1"/>
      </fieldsUsage>
    </cacheHierarchy>
    <cacheHierarchy uniqueName="[tblInventory].[StockIn]" caption="StockIn" attribute="1" defaultMemberUniqueName="[tblInventory].[StockIn].[All]" allUniqueName="[tblInventory].[StockIn].[All]" dimensionUniqueName="[tblInventory]" displayFolder="" count="0" memberValueDatatype="20" unbalanced="0"/>
    <cacheHierarchy uniqueName="[tblInventory].[StockOut]" caption="StockOut" attribute="1" defaultMemberUniqueName="[tblInventory].[StockOut].[All]" allUniqueName="[tblInventory].[StockOut].[All]" dimensionUniqueName="[tblInventory]" displayFolder="" count="0" memberValueDatatype="20" unbalanced="0"/>
    <cacheHierarchy uniqueName="[tblInventory].[StockBalance]" caption="StockBalance" attribute="1" defaultMemberUniqueName="[tblInventory].[StockBalance].[All]" allUniqueName="[tblInventory].[StockBalance].[All]" dimensionUniqueName="[tblInventory]" displayFolder="" count="0" memberValueDatatype="20" unbalanced="0"/>
    <cacheHierarchy uniqueName="[tblInventory].[ReorderLevel]" caption="ReorderLevel" attribute="1" defaultMemberUniqueName="[tblInventory].[ReorderLevel].[All]" allUniqueName="[tblInventory].[ReorderLevel].[All]" dimensionUniqueName="[tblInventory]" displayFolder="" count="0" memberValueDatatype="20" unbalanced="0"/>
    <cacheHierarchy uniqueName="[tblInventory].[Stock Status]" caption="Stock Status" attribute="1" defaultMemberUniqueName="[tblInventory].[Stock Status].[All]" allUniqueName="[tblInventory].[Stock Status].[All]" dimensionUniqueName="[tblInventory]" displayFolder="" count="0" memberValueDatatype="130" unbalanced="0"/>
    <cacheHierarchy uniqueName="[tblSales].[Date]" caption="Date" attribute="1" time="1" defaultMemberUniqueName="[tblSales].[Date].[All]" allUniqueName="[tblSales].[Date].[All]" dimensionUniqueName="[tblSales]" displayFolder="" count="0" memberValueDatatype="7" unbalanced="0"/>
    <cacheHierarchy uniqueName="[tblSales].[InvoiceID]" caption="InvoiceID" attribute="1" defaultMemberUniqueName="[tblSales].[InvoiceID].[All]" allUniqueName="[tblSales].[InvoiceID].[All]" dimensionUniqueName="[tblSales]" displayFolder="" count="0" memberValueDatatype="130" unbalanced="0"/>
    <cacheHierarchy uniqueName="[tblSales].[ProductID]" caption="ProductID" attribute="1" defaultMemberUniqueName="[tblSales].[ProductID].[All]" allUniqueName="[tblSales].[ProductID].[All]" dimensionUniqueName="[tblSales]" displayFolder="" count="0" memberValueDatatype="130" unbalanced="0"/>
    <cacheHierarchy uniqueName="[tblSales].[ProductName]" caption="ProductName" attribute="1" defaultMemberUniqueName="[tblSales].[ProductName].[All]" allUniqueName="[tblSales].[ProductName].[All]" dimensionUniqueName="[tblSales]" displayFolder="" count="2" memberValueDatatype="130" unbalanced="0"/>
    <cacheHierarchy uniqueName="[tblSales].[QtySold]" caption="QtySold" attribute="1" defaultMemberUniqueName="[tblSales].[QtySold].[All]" allUniqueName="[tblSales].[QtySold].[All]" dimensionUniqueName="[tblSales]" displayFolder="" count="0" memberValueDatatype="20" unbalanced="0"/>
    <cacheHierarchy uniqueName="[tblSales].[UnitPrice]" caption="UnitPrice" attribute="1" defaultMemberUniqueName="[tblSales].[UnitPrice].[All]" allUniqueName="[tblSales].[UnitPrice].[All]" dimensionUniqueName="[tblSales]" displayFolder="" count="0" memberValueDatatype="20" unbalanced="0"/>
    <cacheHierarchy uniqueName="[tblSales].[CostPerProduct]" caption="CostPerProduct" attribute="1" defaultMemberUniqueName="[tblSales].[CostPerProduct].[All]" allUniqueName="[tblSales].[CostPerProduct].[All]" dimensionUniqueName="[tblSales]" displayFolder="" count="0" memberValueDatatype="20" unbalanced="0"/>
    <cacheHierarchy uniqueName="[tblSales].[Sales]" caption="Sales" attribute="1" defaultMemberUniqueName="[tblSales].[Sales].[All]" allUniqueName="[tblSales].[Sales].[All]" dimensionUniqueName="[tblSales]" displayFolder="" count="0" memberValueDatatype="20" unbalanced="0"/>
    <cacheHierarchy uniqueName="[tblSales].[Cost]" caption="Cost" attribute="1" defaultMemberUniqueName="[tblSales].[Cost].[All]" allUniqueName="[tblSales].[Cost].[All]" dimensionUniqueName="[tblSales]" displayFolder="" count="0" memberValueDatatype="20" unbalanced="0"/>
    <cacheHierarchy uniqueName="[tblSales].[Profit]" caption="Profit" attribute="1" defaultMemberUniqueName="[tblSales].[Profit].[All]" allUniqueName="[tblSales].[Profit].[All]" dimensionUniqueName="[tblSales]" displayFolder="" count="0" memberValueDatatype="20" unbalanced="0"/>
    <cacheHierarchy uniqueName="[tblSales].[Customer]" caption="Customer" attribute="1" defaultMemberUniqueName="[tblSales].[Customer].[All]" allUniqueName="[tblSales].[Customer].[All]" dimensionUniqueName="[tblSales]" displayFolder="" count="0" memberValueDatatype="130" unbalanced="0"/>
    <cacheHierarchy uniqueName="[tblSales].[PaymentMethod]" caption="PaymentMethod" attribute="1" defaultMemberUniqueName="[tblSales].[PaymentMethod].[All]" allUniqueName="[tblSales].[PaymentMethod].[All]" dimensionUniqueName="[tblSales]" displayFolder="" count="0" memberValueDatatype="130" unbalanced="0"/>
    <cacheHierarchy uniqueName="[Calender].[Date (Day Index)]" caption="Date (Day Index)" attribute="1" defaultMemberUniqueName="[Calender].[Date (Day Index)].[All]" allUniqueName="[Calender].[Date (Day Index)].[All]" dimensionUniqueName="[Calender]" displayFolder="" count="0" memberValueDatatype="5" unbalanced="0" hidden="1"/>
    <cacheHierarchy uniqueName="[Calender].[Date (Month Index)]" caption="Date (Month Index)" attribute="1" defaultMemberUniqueName="[Calender].[Date (Month Index)].[All]" allUniqueName="[Calender].[Date (Month Index)].[All]" dimensionUniqueName="[Calender]" displayFolder="" count="0" memberValueDatatype="20" unbalanced="0" hidden="1"/>
    <cacheHierarchy uniqueName="[Measures].[__XL_Count tblSales]" caption="__XL_Count tblSales" measure="1" displayFolder="" measureGroup="tblSales" count="0" hidden="1"/>
    <cacheHierarchy uniqueName="[Measures].[__XL_Count tblExpenses]" caption="__XL_Count tblExpenses" measure="1" displayFolder="" measureGroup="tblExpenses" count="0" hidden="1"/>
    <cacheHierarchy uniqueName="[Measures].[__XL_Count tblInventory]" caption="__XL_Count tblInventory" measure="1" displayFolder="" measureGroup="tblInventory" count="0" hidden="1"/>
    <cacheHierarchy uniqueName="[Measures].[__XL_Count Calender]" caption="__XL_Count Calender" measure="1" displayFolder="" measureGroup="Calender" count="0" hidden="1"/>
    <cacheHierarchy uniqueName="[Measures].[__No measures defined]" caption="__No measures defined" measure="1" displayFolder="" count="0" hidden="1"/>
    <cacheHierarchy uniqueName="[Measures].[Sum of Sales]" caption="Sum of Sales" measure="1" displayFolder="" measureGroup="tblSales" count="0" oneField="1" hidden="1">
      <fieldsUsage count="1">
        <fieldUsage x="0"/>
      </fieldsUsage>
      <extLst>
        <ext xmlns:x15="http://schemas.microsoft.com/office/spreadsheetml/2010/11/main" uri="{B97F6D7D-B522-45F9-BDA1-12C45D357490}">
          <x15:cacheHierarchy aggregatedColumn="30"/>
        </ext>
      </extLst>
    </cacheHierarchy>
    <cacheHierarchy uniqueName="[Measures].[Sum of Amount]" caption="Sum of Amount" measure="1" displayFolder="" measureGroup="tblExpenses" count="0" hidden="1">
      <extLst>
        <ext xmlns:x15="http://schemas.microsoft.com/office/spreadsheetml/2010/11/main" uri="{B97F6D7D-B522-45F9-BDA1-12C45D357490}">
          <x15:cacheHierarchy aggregatedColumn="12"/>
        </ext>
      </extLst>
    </cacheHierarchy>
    <cacheHierarchy uniqueName="[Measures].[Sum of Profit]" caption="Sum of Profit" measure="1" displayFolder="" measureGroup="tblSales" count="0" hidden="1">
      <extLst>
        <ext xmlns:x15="http://schemas.microsoft.com/office/spreadsheetml/2010/11/main" uri="{B97F6D7D-B522-45F9-BDA1-12C45D357490}">
          <x15:cacheHierarchy aggregatedColumn="32"/>
        </ext>
      </extLst>
    </cacheHierarchy>
    <cacheHierarchy uniqueName="[Measures].[Sum of StockBalance]" caption="Sum of StockBalance" measure="1" displayFolder="" measureGroup="tblInventory" count="0" hidden="1">
      <extLst>
        <ext xmlns:x15="http://schemas.microsoft.com/office/spreadsheetml/2010/11/main" uri="{B97F6D7D-B522-45F9-BDA1-12C45D357490}">
          <x15:cacheHierarchy aggregatedColumn="20"/>
        </ext>
      </extLst>
    </cacheHierarchy>
    <cacheHierarchy uniqueName="[Measures].[Sum of ReorderLevel]" caption="Sum of ReorderLevel" measure="1" displayFolder="" measureGroup="tblInventory" count="0" hidden="1">
      <extLst>
        <ext xmlns:x15="http://schemas.microsoft.com/office/spreadsheetml/2010/11/main" uri="{B97F6D7D-B522-45F9-BDA1-12C45D357490}">
          <x15:cacheHierarchy aggregatedColumn="21"/>
        </ext>
      </extLst>
    </cacheHierarchy>
    <cacheHierarchy uniqueName="[Measures].[Count of StockBalance]" caption="Count of StockBalance" measure="1" displayFolder="" measureGroup="tblInventory" count="0" hidden="1">
      <extLst>
        <ext xmlns:x15="http://schemas.microsoft.com/office/spreadsheetml/2010/11/main" uri="{B97F6D7D-B522-45F9-BDA1-12C45D357490}">
          <x15:cacheHierarchy aggregatedColumn="20"/>
        </ext>
      </extLst>
    </cacheHierarchy>
    <cacheHierarchy uniqueName="[Measures].[Max of StockBalance]" caption="Max of StockBalance" measure="1" displayFolder="" measureGroup="tblInventory" count="0" hidden="1">
      <extLst>
        <ext xmlns:x15="http://schemas.microsoft.com/office/spreadsheetml/2010/11/main" uri="{B97F6D7D-B522-45F9-BDA1-12C45D357490}">
          <x15:cacheHierarchy aggregatedColumn="20"/>
        </ext>
      </extLst>
    </cacheHierarchy>
    <cacheHierarchy uniqueName="[Measures].[Max of ReorderLevel]" caption="Max of ReorderLevel" measure="1" displayFolder="" measureGroup="tblInventory" count="0" hidden="1">
      <extLst>
        <ext xmlns:x15="http://schemas.microsoft.com/office/spreadsheetml/2010/11/main" uri="{B97F6D7D-B522-45F9-BDA1-12C45D357490}">
          <x15:cacheHierarchy aggregatedColumn="21"/>
        </ext>
      </extLst>
    </cacheHierarchy>
  </cacheHierarchies>
  <kpis count="0"/>
  <dimensions count="5">
    <dimension name="Calender" uniqueName="[Calender]" caption="Calender"/>
    <dimension measure="1" name="Measures" uniqueName="[Measures]" caption="Measures"/>
    <dimension name="tblExpenses" uniqueName="[tblExpenses]" caption="tblExpenses"/>
    <dimension name="tblInventory" uniqueName="[tblInventory]" caption="tblInventory"/>
    <dimension name="tblSales" uniqueName="[tblSales]" caption="tblSales"/>
  </dimensions>
  <measureGroups count="4">
    <measureGroup name="Calender" caption="Calender"/>
    <measureGroup name="tblExpenses" caption="tblExpenses"/>
    <measureGroup name="tblInventory" caption="tblInventory"/>
    <measureGroup name="tblSales" caption="tblSales"/>
  </measureGroups>
  <maps count="7">
    <map measureGroup="0" dimension="0"/>
    <map measureGroup="1" dimension="0"/>
    <map measureGroup="1" dimension="2"/>
    <map measureGroup="2" dimension="0"/>
    <map measureGroup="2" dimension="3"/>
    <map measureGroup="3" dimension="0"/>
    <map measureGroup="3" dimension="4"/>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4.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Oluwaseyi Ajayi" refreshedDate="46058.372612268518" backgroundQuery="1" createdVersion="8" refreshedVersion="8" minRefreshableVersion="3" recordCount="0" supportSubquery="1" supportAdvancedDrill="1" xr:uid="{D24C33A6-5406-4A5F-91A8-C729E559C739}">
  <cacheSource type="external" connectionId="1"/>
  <cacheFields count="3">
    <cacheField name="[tblExpenses].[Category].[Category]" caption="Category" numFmtId="0" hierarchy="11" level="1">
      <sharedItems count="8">
        <s v="Electricity"/>
        <s v="Internet"/>
        <s v="Maintenance"/>
        <s v="Packaging"/>
        <s v="Rent"/>
        <s v="Staff Salary"/>
        <s v="Transport"/>
        <s v="Transportation"/>
      </sharedItems>
    </cacheField>
    <cacheField name="[Measures].[Sum of Amount]" caption="Sum of Amount" numFmtId="0" hierarchy="43" level="32767"/>
    <cacheField name="[Calender].[Date].[Date]" caption="Date" numFmtId="0" level="1">
      <sharedItems containsSemiMixedTypes="0" containsNonDate="0" containsString="0"/>
    </cacheField>
  </cacheFields>
  <cacheHierarchies count="50">
    <cacheHierarchy uniqueName="[Calender].[Date]" caption="Date" attribute="1" time="1" defaultMemberUniqueName="[Calender].[Date].[All]" allUniqueName="[Calender].[Date].[All]" dimensionUniqueName="[Calender]" displayFolder="" count="2" memberValueDatatype="7" unbalanced="0">
      <fieldsUsage count="2">
        <fieldUsage x="-1"/>
        <fieldUsage x="2"/>
      </fieldsUsage>
    </cacheHierarchy>
    <cacheHierarchy uniqueName="[Calender].[Year]" caption="Year" attribute="1" defaultMemberUniqueName="[Calender].[Year].[All]" allUniqueName="[Calender].[Year].[All]" dimensionUniqueName="[Calender]" displayFolder="" count="0" memberValueDatatype="20" unbalanced="0"/>
    <cacheHierarchy uniqueName="[Calender].[Month]" caption="Month" attribute="1" defaultMemberUniqueName="[Calender].[Month].[All]" allUniqueName="[Calender].[Month].[All]" dimensionUniqueName="[Calender]" displayFolder="" count="0" memberValueDatatype="130" unbalanced="0"/>
    <cacheHierarchy uniqueName="[Calender].[Month No]" caption="Month No" attribute="1" defaultMemberUniqueName="[Calender].[Month No].[All]" allUniqueName="[Calender].[Month No].[All]" dimensionUniqueName="[Calender]" displayFolder="" count="0" memberValueDatatype="20" unbalanced="0"/>
    <cacheHierarchy uniqueName="[Calender].[Day]" caption="Day" attribute="1" defaultMemberUniqueName="[Calender].[Day].[All]" allUniqueName="[Calender].[Day].[All]" dimensionUniqueName="[Calender]" displayFolder="" count="0" memberValueDatatype="20" unbalanced="0"/>
    <cacheHierarchy uniqueName="[Calender].[Date (Year)]" caption="Date (Year)" attribute="1" defaultMemberUniqueName="[Calender].[Date (Year)].[All]" allUniqueName="[Calender].[Date (Year)].[All]" dimensionUniqueName="[Calender]" displayFolder="" count="0" memberValueDatatype="130" unbalanced="0"/>
    <cacheHierarchy uniqueName="[Calender].[Date (Quarter)]" caption="Date (Quarter)" attribute="1" defaultMemberUniqueName="[Calender].[Date (Quarter)].[All]" allUniqueName="[Calender].[Date (Quarter)].[All]" dimensionUniqueName="[Calender]" displayFolder="" count="0" memberValueDatatype="130" unbalanced="0"/>
    <cacheHierarchy uniqueName="[Calender].[Date (Month)]" caption="Date (Month)" attribute="1" defaultMemberUniqueName="[Calender].[Date (Month)].[All]" allUniqueName="[Calender].[Date (Month)].[All]" dimensionUniqueName="[Calender]" displayFolder="" count="0" memberValueDatatype="130" unbalanced="0"/>
    <cacheHierarchy uniqueName="[Calender].[Date (Day)]" caption="Date (Day)" attribute="1" defaultMemberUniqueName="[Calender].[Date (Day)].[All]" allUniqueName="[Calender].[Date (Day)].[All]" dimensionUniqueName="[Calender]" displayFolder="" count="0" memberValueDatatype="130" unbalanced="0"/>
    <cacheHierarchy uniqueName="[tblExpenses].[Date]" caption="Date" attribute="1" time="1" defaultMemberUniqueName="[tblExpenses].[Date].[All]" allUniqueName="[tblExpenses].[Date].[All]" dimensionUniqueName="[tblExpenses]" displayFolder="" count="0" memberValueDatatype="7" unbalanced="0"/>
    <cacheHierarchy uniqueName="[tblExpenses].[OutletID]" caption="OutletID" attribute="1" defaultMemberUniqueName="[tblExpenses].[OutletID].[All]" allUniqueName="[tblExpenses].[OutletID].[All]" dimensionUniqueName="[tblExpenses]" displayFolder="" count="0" memberValueDatatype="130" unbalanced="0"/>
    <cacheHierarchy uniqueName="[tblExpenses].[Category]" caption="Category" attribute="1" defaultMemberUniqueName="[tblExpenses].[Category].[All]" allUniqueName="[tblExpenses].[Category].[All]" dimensionUniqueName="[tblExpenses]" displayFolder="" count="2" memberValueDatatype="130" unbalanced="0">
      <fieldsUsage count="2">
        <fieldUsage x="-1"/>
        <fieldUsage x="0"/>
      </fieldsUsage>
    </cacheHierarchy>
    <cacheHierarchy uniqueName="[tblExpenses].[Amount]" caption="Amount" attribute="1" defaultMemberUniqueName="[tblExpenses].[Amount].[All]" allUniqueName="[tblExpenses].[Amount].[All]" dimensionUniqueName="[tblExpenses]" displayFolder="" count="0" memberValueDatatype="20" unbalanced="0"/>
    <cacheHierarchy uniqueName="[tblExpenses].[Notes]" caption="Notes" attribute="1" defaultMemberUniqueName="[tblExpenses].[Notes].[All]" allUniqueName="[tblExpenses].[Notes].[All]" dimensionUniqueName="[tblExpenses]" displayFolder="" count="0" memberValueDatatype="130" unbalanced="0"/>
    <cacheHierarchy uniqueName="[tblInventory].[Date]" caption="Date" attribute="1" time="1" defaultMemberUniqueName="[tblInventory].[Date].[All]" allUniqueName="[tblInventory].[Date].[All]" dimensionUniqueName="[tblInventory]" displayFolder="" count="0" memberValueDatatype="7" unbalanced="0"/>
    <cacheHierarchy uniqueName="[tblInventory].[OutletID]" caption="OutletID" attribute="1" defaultMemberUniqueName="[tblInventory].[OutletID].[All]" allUniqueName="[tblInventory].[OutletID].[All]" dimensionUniqueName="[tblInventory]" displayFolder="" count="0" memberValueDatatype="130" unbalanced="0"/>
    <cacheHierarchy uniqueName="[tblInventory].[ProductID]" caption="ProductID" attribute="1" defaultMemberUniqueName="[tblInventory].[ProductID].[All]" allUniqueName="[tblInventory].[ProductID].[All]" dimensionUniqueName="[tblInventory]" displayFolder="" count="0" memberValueDatatype="130" unbalanced="0"/>
    <cacheHierarchy uniqueName="[tblInventory].[ProductName]" caption="ProductName" attribute="1" defaultMemberUniqueName="[tblInventory].[ProductName].[All]" allUniqueName="[tblInventory].[ProductName].[All]" dimensionUniqueName="[tblInventory]" displayFolder="" count="0" memberValueDatatype="130" unbalanced="0"/>
    <cacheHierarchy uniqueName="[tblInventory].[StockIn]" caption="StockIn" attribute="1" defaultMemberUniqueName="[tblInventory].[StockIn].[All]" allUniqueName="[tblInventory].[StockIn].[All]" dimensionUniqueName="[tblInventory]" displayFolder="" count="0" memberValueDatatype="20" unbalanced="0"/>
    <cacheHierarchy uniqueName="[tblInventory].[StockOut]" caption="StockOut" attribute="1" defaultMemberUniqueName="[tblInventory].[StockOut].[All]" allUniqueName="[tblInventory].[StockOut].[All]" dimensionUniqueName="[tblInventory]" displayFolder="" count="0" memberValueDatatype="20" unbalanced="0"/>
    <cacheHierarchy uniqueName="[tblInventory].[StockBalance]" caption="StockBalance" attribute="1" defaultMemberUniqueName="[tblInventory].[StockBalance].[All]" allUniqueName="[tblInventory].[StockBalance].[All]" dimensionUniqueName="[tblInventory]" displayFolder="" count="0" memberValueDatatype="20" unbalanced="0"/>
    <cacheHierarchy uniqueName="[tblInventory].[ReorderLevel]" caption="ReorderLevel" attribute="1" defaultMemberUniqueName="[tblInventory].[ReorderLevel].[All]" allUniqueName="[tblInventory].[ReorderLevel].[All]" dimensionUniqueName="[tblInventory]" displayFolder="" count="0" memberValueDatatype="20" unbalanced="0"/>
    <cacheHierarchy uniqueName="[tblInventory].[Stock Status]" caption="Stock Status" attribute="1" defaultMemberUniqueName="[tblInventory].[Stock Status].[All]" allUniqueName="[tblInventory].[Stock Status].[All]" dimensionUniqueName="[tblInventory]" displayFolder="" count="0" memberValueDatatype="130" unbalanced="0"/>
    <cacheHierarchy uniqueName="[tblSales].[Date]" caption="Date" attribute="1" time="1" defaultMemberUniqueName="[tblSales].[Date].[All]" allUniqueName="[tblSales].[Date].[All]" dimensionUniqueName="[tblSales]" displayFolder="" count="0" memberValueDatatype="7" unbalanced="0"/>
    <cacheHierarchy uniqueName="[tblSales].[InvoiceID]" caption="InvoiceID" attribute="1" defaultMemberUniqueName="[tblSales].[InvoiceID].[All]" allUniqueName="[tblSales].[InvoiceID].[All]" dimensionUniqueName="[tblSales]" displayFolder="" count="0" memberValueDatatype="130" unbalanced="0"/>
    <cacheHierarchy uniqueName="[tblSales].[ProductID]" caption="ProductID" attribute="1" defaultMemberUniqueName="[tblSales].[ProductID].[All]" allUniqueName="[tblSales].[ProductID].[All]" dimensionUniqueName="[tblSales]" displayFolder="" count="0" memberValueDatatype="130" unbalanced="0"/>
    <cacheHierarchy uniqueName="[tblSales].[ProductName]" caption="ProductName" attribute="1" defaultMemberUniqueName="[tblSales].[ProductName].[All]" allUniqueName="[tblSales].[ProductName].[All]" dimensionUniqueName="[tblSales]" displayFolder="" count="0" memberValueDatatype="130" unbalanced="0"/>
    <cacheHierarchy uniqueName="[tblSales].[QtySold]" caption="QtySold" attribute="1" defaultMemberUniqueName="[tblSales].[QtySold].[All]" allUniqueName="[tblSales].[QtySold].[All]" dimensionUniqueName="[tblSales]" displayFolder="" count="0" memberValueDatatype="20" unbalanced="0"/>
    <cacheHierarchy uniqueName="[tblSales].[UnitPrice]" caption="UnitPrice" attribute="1" defaultMemberUniqueName="[tblSales].[UnitPrice].[All]" allUniqueName="[tblSales].[UnitPrice].[All]" dimensionUniqueName="[tblSales]" displayFolder="" count="0" memberValueDatatype="20" unbalanced="0"/>
    <cacheHierarchy uniqueName="[tblSales].[CostPerProduct]" caption="CostPerProduct" attribute="1" defaultMemberUniqueName="[tblSales].[CostPerProduct].[All]" allUniqueName="[tblSales].[CostPerProduct].[All]" dimensionUniqueName="[tblSales]" displayFolder="" count="0" memberValueDatatype="20" unbalanced="0"/>
    <cacheHierarchy uniqueName="[tblSales].[Sales]" caption="Sales" attribute="1" defaultMemberUniqueName="[tblSales].[Sales].[All]" allUniqueName="[tblSales].[Sales].[All]" dimensionUniqueName="[tblSales]" displayFolder="" count="0" memberValueDatatype="20" unbalanced="0"/>
    <cacheHierarchy uniqueName="[tblSales].[Cost]" caption="Cost" attribute="1" defaultMemberUniqueName="[tblSales].[Cost].[All]" allUniqueName="[tblSales].[Cost].[All]" dimensionUniqueName="[tblSales]" displayFolder="" count="0" memberValueDatatype="20" unbalanced="0"/>
    <cacheHierarchy uniqueName="[tblSales].[Profit]" caption="Profit" attribute="1" defaultMemberUniqueName="[tblSales].[Profit].[All]" allUniqueName="[tblSales].[Profit].[All]" dimensionUniqueName="[tblSales]" displayFolder="" count="0" memberValueDatatype="20" unbalanced="0"/>
    <cacheHierarchy uniqueName="[tblSales].[Customer]" caption="Customer" attribute="1" defaultMemberUniqueName="[tblSales].[Customer].[All]" allUniqueName="[tblSales].[Customer].[All]" dimensionUniqueName="[tblSales]" displayFolder="" count="0" memberValueDatatype="130" unbalanced="0"/>
    <cacheHierarchy uniqueName="[tblSales].[PaymentMethod]" caption="PaymentMethod" attribute="1" defaultMemberUniqueName="[tblSales].[PaymentMethod].[All]" allUniqueName="[tblSales].[PaymentMethod].[All]" dimensionUniqueName="[tblSales]" displayFolder="" count="0" memberValueDatatype="130" unbalanced="0"/>
    <cacheHierarchy uniqueName="[Calender].[Date (Day Index)]" caption="Date (Day Index)" attribute="1" defaultMemberUniqueName="[Calender].[Date (Day Index)].[All]" allUniqueName="[Calender].[Date (Day Index)].[All]" dimensionUniqueName="[Calender]" displayFolder="" count="0" memberValueDatatype="5" unbalanced="0" hidden="1"/>
    <cacheHierarchy uniqueName="[Calender].[Date (Month Index)]" caption="Date (Month Index)" attribute="1" defaultMemberUniqueName="[Calender].[Date (Month Index)].[All]" allUniqueName="[Calender].[Date (Month Index)].[All]" dimensionUniqueName="[Calender]" displayFolder="" count="0" memberValueDatatype="20" unbalanced="0" hidden="1"/>
    <cacheHierarchy uniqueName="[Measures].[__XL_Count tblSales]" caption="__XL_Count tblSales" measure="1" displayFolder="" measureGroup="tblSales" count="0" hidden="1"/>
    <cacheHierarchy uniqueName="[Measures].[__XL_Count tblExpenses]" caption="__XL_Count tblExpenses" measure="1" displayFolder="" measureGroup="tblExpenses" count="0" hidden="1"/>
    <cacheHierarchy uniqueName="[Measures].[__XL_Count tblInventory]" caption="__XL_Count tblInventory" measure="1" displayFolder="" measureGroup="tblInventory" count="0" hidden="1"/>
    <cacheHierarchy uniqueName="[Measures].[__XL_Count Calender]" caption="__XL_Count Calender" measure="1" displayFolder="" measureGroup="Calender" count="0" hidden="1"/>
    <cacheHierarchy uniqueName="[Measures].[__No measures defined]" caption="__No measures defined" measure="1" displayFolder="" count="0" hidden="1"/>
    <cacheHierarchy uniqueName="[Measures].[Sum of Sales]" caption="Sum of Sales" measure="1" displayFolder="" measureGroup="tblSales" count="0" hidden="1">
      <extLst>
        <ext xmlns:x15="http://schemas.microsoft.com/office/spreadsheetml/2010/11/main" uri="{B97F6D7D-B522-45F9-BDA1-12C45D357490}">
          <x15:cacheHierarchy aggregatedColumn="30"/>
        </ext>
      </extLst>
    </cacheHierarchy>
    <cacheHierarchy uniqueName="[Measures].[Sum of Amount]" caption="Sum of Amount" measure="1" displayFolder="" measureGroup="tblExpenses" count="0" oneField="1" hidden="1">
      <fieldsUsage count="1">
        <fieldUsage x="1"/>
      </fieldsUsage>
      <extLst>
        <ext xmlns:x15="http://schemas.microsoft.com/office/spreadsheetml/2010/11/main" uri="{B97F6D7D-B522-45F9-BDA1-12C45D357490}">
          <x15:cacheHierarchy aggregatedColumn="12"/>
        </ext>
      </extLst>
    </cacheHierarchy>
    <cacheHierarchy uniqueName="[Measures].[Sum of Profit]" caption="Sum of Profit" measure="1" displayFolder="" measureGroup="tblSales" count="0" hidden="1">
      <extLst>
        <ext xmlns:x15="http://schemas.microsoft.com/office/spreadsheetml/2010/11/main" uri="{B97F6D7D-B522-45F9-BDA1-12C45D357490}">
          <x15:cacheHierarchy aggregatedColumn="32"/>
        </ext>
      </extLst>
    </cacheHierarchy>
    <cacheHierarchy uniqueName="[Measures].[Sum of StockBalance]" caption="Sum of StockBalance" measure="1" displayFolder="" measureGroup="tblInventory" count="0" hidden="1">
      <extLst>
        <ext xmlns:x15="http://schemas.microsoft.com/office/spreadsheetml/2010/11/main" uri="{B97F6D7D-B522-45F9-BDA1-12C45D357490}">
          <x15:cacheHierarchy aggregatedColumn="20"/>
        </ext>
      </extLst>
    </cacheHierarchy>
    <cacheHierarchy uniqueName="[Measures].[Sum of ReorderLevel]" caption="Sum of ReorderLevel" measure="1" displayFolder="" measureGroup="tblInventory" count="0" hidden="1">
      <extLst>
        <ext xmlns:x15="http://schemas.microsoft.com/office/spreadsheetml/2010/11/main" uri="{B97F6D7D-B522-45F9-BDA1-12C45D357490}">
          <x15:cacheHierarchy aggregatedColumn="21"/>
        </ext>
      </extLst>
    </cacheHierarchy>
    <cacheHierarchy uniqueName="[Measures].[Count of StockBalance]" caption="Count of StockBalance" measure="1" displayFolder="" measureGroup="tblInventory" count="0" hidden="1">
      <extLst>
        <ext xmlns:x15="http://schemas.microsoft.com/office/spreadsheetml/2010/11/main" uri="{B97F6D7D-B522-45F9-BDA1-12C45D357490}">
          <x15:cacheHierarchy aggregatedColumn="20"/>
        </ext>
      </extLst>
    </cacheHierarchy>
    <cacheHierarchy uniqueName="[Measures].[Max of StockBalance]" caption="Max of StockBalance" measure="1" displayFolder="" measureGroup="tblInventory" count="0" hidden="1">
      <extLst>
        <ext xmlns:x15="http://schemas.microsoft.com/office/spreadsheetml/2010/11/main" uri="{B97F6D7D-B522-45F9-BDA1-12C45D357490}">
          <x15:cacheHierarchy aggregatedColumn="20"/>
        </ext>
      </extLst>
    </cacheHierarchy>
    <cacheHierarchy uniqueName="[Measures].[Max of ReorderLevel]" caption="Max of ReorderLevel" measure="1" displayFolder="" measureGroup="tblInventory" count="0" hidden="1">
      <extLst>
        <ext xmlns:x15="http://schemas.microsoft.com/office/spreadsheetml/2010/11/main" uri="{B97F6D7D-B522-45F9-BDA1-12C45D357490}">
          <x15:cacheHierarchy aggregatedColumn="21"/>
        </ext>
      </extLst>
    </cacheHierarchy>
  </cacheHierarchies>
  <kpis count="0"/>
  <dimensions count="5">
    <dimension name="Calender" uniqueName="[Calender]" caption="Calender"/>
    <dimension measure="1" name="Measures" uniqueName="[Measures]" caption="Measures"/>
    <dimension name="tblExpenses" uniqueName="[tblExpenses]" caption="tblExpenses"/>
    <dimension name="tblInventory" uniqueName="[tblInventory]" caption="tblInventory"/>
    <dimension name="tblSales" uniqueName="[tblSales]" caption="tblSales"/>
  </dimensions>
  <measureGroups count="4">
    <measureGroup name="Calender" caption="Calender"/>
    <measureGroup name="tblExpenses" caption="tblExpenses"/>
    <measureGroup name="tblInventory" caption="tblInventory"/>
    <measureGroup name="tblSales" caption="tblSales"/>
  </measureGroups>
  <maps count="7">
    <map measureGroup="0" dimension="0"/>
    <map measureGroup="1" dimension="0"/>
    <map measureGroup="1" dimension="2"/>
    <map measureGroup="2" dimension="0"/>
    <map measureGroup="2" dimension="3"/>
    <map measureGroup="3" dimension="0"/>
    <map measureGroup="3" dimension="4"/>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5.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Oluwaseyi Ajayi" refreshedDate="46058.372612615742" backgroundQuery="1" createdVersion="8" refreshedVersion="8" minRefreshableVersion="3" recordCount="0" supportSubquery="1" supportAdvancedDrill="1" xr:uid="{AD4E507B-4678-431A-9B0B-12C164ED2560}">
  <cacheSource type="external" connectionId="1"/>
  <cacheFields count="3">
    <cacheField name="[tblSales].[ProductName].[ProductName]" caption="ProductName" numFmtId="0" hierarchy="26" level="1">
      <sharedItems count="4">
        <s v="Bottle Water"/>
        <s v="BREAD"/>
        <s v="Canned Soda"/>
        <s v="Energy Drink"/>
      </sharedItems>
    </cacheField>
    <cacheField name="[Measures].[Sum of Profit]" caption="Sum of Profit" numFmtId="0" hierarchy="44" level="32767"/>
    <cacheField name="[Calender].[Date].[Date]" caption="Date" numFmtId="0" level="1">
      <sharedItems containsSemiMixedTypes="0" containsNonDate="0" containsString="0"/>
    </cacheField>
  </cacheFields>
  <cacheHierarchies count="50">
    <cacheHierarchy uniqueName="[Calender].[Date]" caption="Date" attribute="1" time="1" defaultMemberUniqueName="[Calender].[Date].[All]" allUniqueName="[Calender].[Date].[All]" dimensionUniqueName="[Calender]" displayFolder="" count="2" memberValueDatatype="7" unbalanced="0">
      <fieldsUsage count="2">
        <fieldUsage x="-1"/>
        <fieldUsage x="2"/>
      </fieldsUsage>
    </cacheHierarchy>
    <cacheHierarchy uniqueName="[Calender].[Year]" caption="Year" attribute="1" defaultMemberUniqueName="[Calender].[Year].[All]" allUniqueName="[Calender].[Year].[All]" dimensionUniqueName="[Calender]" displayFolder="" count="0" memberValueDatatype="20" unbalanced="0"/>
    <cacheHierarchy uniqueName="[Calender].[Month]" caption="Month" attribute="1" defaultMemberUniqueName="[Calender].[Month].[All]" allUniqueName="[Calender].[Month].[All]" dimensionUniqueName="[Calender]" displayFolder="" count="0" memberValueDatatype="130" unbalanced="0"/>
    <cacheHierarchy uniqueName="[Calender].[Month No]" caption="Month No" attribute="1" defaultMemberUniqueName="[Calender].[Month No].[All]" allUniqueName="[Calender].[Month No].[All]" dimensionUniqueName="[Calender]" displayFolder="" count="0" memberValueDatatype="20" unbalanced="0"/>
    <cacheHierarchy uniqueName="[Calender].[Day]" caption="Day" attribute="1" defaultMemberUniqueName="[Calender].[Day].[All]" allUniqueName="[Calender].[Day].[All]" dimensionUniqueName="[Calender]" displayFolder="" count="0" memberValueDatatype="20" unbalanced="0"/>
    <cacheHierarchy uniqueName="[Calender].[Date (Year)]" caption="Date (Year)" attribute="1" defaultMemberUniqueName="[Calender].[Date (Year)].[All]" allUniqueName="[Calender].[Date (Year)].[All]" dimensionUniqueName="[Calender]" displayFolder="" count="0" memberValueDatatype="130" unbalanced="0"/>
    <cacheHierarchy uniqueName="[Calender].[Date (Quarter)]" caption="Date (Quarter)" attribute="1" defaultMemberUniqueName="[Calender].[Date (Quarter)].[All]" allUniqueName="[Calender].[Date (Quarter)].[All]" dimensionUniqueName="[Calender]" displayFolder="" count="0" memberValueDatatype="130" unbalanced="0"/>
    <cacheHierarchy uniqueName="[Calender].[Date (Month)]" caption="Date (Month)" attribute="1" defaultMemberUniqueName="[Calender].[Date (Month)].[All]" allUniqueName="[Calender].[Date (Month)].[All]" dimensionUniqueName="[Calender]" displayFolder="" count="0" memberValueDatatype="130" unbalanced="0"/>
    <cacheHierarchy uniqueName="[Calender].[Date (Day)]" caption="Date (Day)" attribute="1" defaultMemberUniqueName="[Calender].[Date (Day)].[All]" allUniqueName="[Calender].[Date (Day)].[All]" dimensionUniqueName="[Calender]" displayFolder="" count="0" memberValueDatatype="130" unbalanced="0"/>
    <cacheHierarchy uniqueName="[tblExpenses].[Date]" caption="Date" attribute="1" time="1" defaultMemberUniqueName="[tblExpenses].[Date].[All]" allUniqueName="[tblExpenses].[Date].[All]" dimensionUniqueName="[tblExpenses]" displayFolder="" count="0" memberValueDatatype="7" unbalanced="0"/>
    <cacheHierarchy uniqueName="[tblExpenses].[OutletID]" caption="OutletID" attribute="1" defaultMemberUniqueName="[tblExpenses].[OutletID].[All]" allUniqueName="[tblExpenses].[OutletID].[All]" dimensionUniqueName="[tblExpenses]" displayFolder="" count="0" memberValueDatatype="130" unbalanced="0"/>
    <cacheHierarchy uniqueName="[tblExpenses].[Category]" caption="Category" attribute="1" defaultMemberUniqueName="[tblExpenses].[Category].[All]" allUniqueName="[tblExpenses].[Category].[All]" dimensionUniqueName="[tblExpenses]" displayFolder="" count="0" memberValueDatatype="130" unbalanced="0"/>
    <cacheHierarchy uniqueName="[tblExpenses].[Amount]" caption="Amount" attribute="1" defaultMemberUniqueName="[tblExpenses].[Amount].[All]" allUniqueName="[tblExpenses].[Amount].[All]" dimensionUniqueName="[tblExpenses]" displayFolder="" count="0" memberValueDatatype="20" unbalanced="0"/>
    <cacheHierarchy uniqueName="[tblExpenses].[Notes]" caption="Notes" attribute="1" defaultMemberUniqueName="[tblExpenses].[Notes].[All]" allUniqueName="[tblExpenses].[Notes].[All]" dimensionUniqueName="[tblExpenses]" displayFolder="" count="0" memberValueDatatype="130" unbalanced="0"/>
    <cacheHierarchy uniqueName="[tblInventory].[Date]" caption="Date" attribute="1" time="1" defaultMemberUniqueName="[tblInventory].[Date].[All]" allUniqueName="[tblInventory].[Date].[All]" dimensionUniqueName="[tblInventory]" displayFolder="" count="0" memberValueDatatype="7" unbalanced="0"/>
    <cacheHierarchy uniqueName="[tblInventory].[OutletID]" caption="OutletID" attribute="1" defaultMemberUniqueName="[tblInventory].[OutletID].[All]" allUniqueName="[tblInventory].[OutletID].[All]" dimensionUniqueName="[tblInventory]" displayFolder="" count="0" memberValueDatatype="130" unbalanced="0"/>
    <cacheHierarchy uniqueName="[tblInventory].[ProductID]" caption="ProductID" attribute="1" defaultMemberUniqueName="[tblInventory].[ProductID].[All]" allUniqueName="[tblInventory].[ProductID].[All]" dimensionUniqueName="[tblInventory]" displayFolder="" count="0" memberValueDatatype="130" unbalanced="0"/>
    <cacheHierarchy uniqueName="[tblInventory].[ProductName]" caption="ProductName" attribute="1" defaultMemberUniqueName="[tblInventory].[ProductName].[All]" allUniqueName="[tblInventory].[ProductName].[All]" dimensionUniqueName="[tblInventory]" displayFolder="" count="0" memberValueDatatype="130" unbalanced="0"/>
    <cacheHierarchy uniqueName="[tblInventory].[StockIn]" caption="StockIn" attribute="1" defaultMemberUniqueName="[tblInventory].[StockIn].[All]" allUniqueName="[tblInventory].[StockIn].[All]" dimensionUniqueName="[tblInventory]" displayFolder="" count="0" memberValueDatatype="20" unbalanced="0"/>
    <cacheHierarchy uniqueName="[tblInventory].[StockOut]" caption="StockOut" attribute="1" defaultMemberUniqueName="[tblInventory].[StockOut].[All]" allUniqueName="[tblInventory].[StockOut].[All]" dimensionUniqueName="[tblInventory]" displayFolder="" count="0" memberValueDatatype="20" unbalanced="0"/>
    <cacheHierarchy uniqueName="[tblInventory].[StockBalance]" caption="StockBalance" attribute="1" defaultMemberUniqueName="[tblInventory].[StockBalance].[All]" allUniqueName="[tblInventory].[StockBalance].[All]" dimensionUniqueName="[tblInventory]" displayFolder="" count="0" memberValueDatatype="20" unbalanced="0"/>
    <cacheHierarchy uniqueName="[tblInventory].[ReorderLevel]" caption="ReorderLevel" attribute="1" defaultMemberUniqueName="[tblInventory].[ReorderLevel].[All]" allUniqueName="[tblInventory].[ReorderLevel].[All]" dimensionUniqueName="[tblInventory]" displayFolder="" count="0" memberValueDatatype="20" unbalanced="0"/>
    <cacheHierarchy uniqueName="[tblInventory].[Stock Status]" caption="Stock Status" attribute="1" defaultMemberUniqueName="[tblInventory].[Stock Status].[All]" allUniqueName="[tblInventory].[Stock Status].[All]" dimensionUniqueName="[tblInventory]" displayFolder="" count="0" memberValueDatatype="130" unbalanced="0"/>
    <cacheHierarchy uniqueName="[tblSales].[Date]" caption="Date" attribute="1" time="1" defaultMemberUniqueName="[tblSales].[Date].[All]" allUniqueName="[tblSales].[Date].[All]" dimensionUniqueName="[tblSales]" displayFolder="" count="0" memberValueDatatype="7" unbalanced="0"/>
    <cacheHierarchy uniqueName="[tblSales].[InvoiceID]" caption="InvoiceID" attribute="1" defaultMemberUniqueName="[tblSales].[InvoiceID].[All]" allUniqueName="[tblSales].[InvoiceID].[All]" dimensionUniqueName="[tblSales]" displayFolder="" count="0" memberValueDatatype="130" unbalanced="0"/>
    <cacheHierarchy uniqueName="[tblSales].[ProductID]" caption="ProductID" attribute="1" defaultMemberUniqueName="[tblSales].[ProductID].[All]" allUniqueName="[tblSales].[ProductID].[All]" dimensionUniqueName="[tblSales]" displayFolder="" count="0" memberValueDatatype="130" unbalanced="0"/>
    <cacheHierarchy uniqueName="[tblSales].[ProductName]" caption="ProductName" attribute="1" defaultMemberUniqueName="[tblSales].[ProductName].[All]" allUniqueName="[tblSales].[ProductName].[All]" dimensionUniqueName="[tblSales]" displayFolder="" count="2" memberValueDatatype="130" unbalanced="0">
      <fieldsUsage count="2">
        <fieldUsage x="-1"/>
        <fieldUsage x="0"/>
      </fieldsUsage>
    </cacheHierarchy>
    <cacheHierarchy uniqueName="[tblSales].[QtySold]" caption="QtySold" attribute="1" defaultMemberUniqueName="[tblSales].[QtySold].[All]" allUniqueName="[tblSales].[QtySold].[All]" dimensionUniqueName="[tblSales]" displayFolder="" count="0" memberValueDatatype="20" unbalanced="0"/>
    <cacheHierarchy uniqueName="[tblSales].[UnitPrice]" caption="UnitPrice" attribute="1" defaultMemberUniqueName="[tblSales].[UnitPrice].[All]" allUniqueName="[tblSales].[UnitPrice].[All]" dimensionUniqueName="[tblSales]" displayFolder="" count="0" memberValueDatatype="20" unbalanced="0"/>
    <cacheHierarchy uniqueName="[tblSales].[CostPerProduct]" caption="CostPerProduct" attribute="1" defaultMemberUniqueName="[tblSales].[CostPerProduct].[All]" allUniqueName="[tblSales].[CostPerProduct].[All]" dimensionUniqueName="[tblSales]" displayFolder="" count="0" memberValueDatatype="20" unbalanced="0"/>
    <cacheHierarchy uniqueName="[tblSales].[Sales]" caption="Sales" attribute="1" defaultMemberUniqueName="[tblSales].[Sales].[All]" allUniqueName="[tblSales].[Sales].[All]" dimensionUniqueName="[tblSales]" displayFolder="" count="0" memberValueDatatype="20" unbalanced="0"/>
    <cacheHierarchy uniqueName="[tblSales].[Cost]" caption="Cost" attribute="1" defaultMemberUniqueName="[tblSales].[Cost].[All]" allUniqueName="[tblSales].[Cost].[All]" dimensionUniqueName="[tblSales]" displayFolder="" count="0" memberValueDatatype="20" unbalanced="0"/>
    <cacheHierarchy uniqueName="[tblSales].[Profit]" caption="Profit" attribute="1" defaultMemberUniqueName="[tblSales].[Profit].[All]" allUniqueName="[tblSales].[Profit].[All]" dimensionUniqueName="[tblSales]" displayFolder="" count="0" memberValueDatatype="20" unbalanced="0"/>
    <cacheHierarchy uniqueName="[tblSales].[Customer]" caption="Customer" attribute="1" defaultMemberUniqueName="[tblSales].[Customer].[All]" allUniqueName="[tblSales].[Customer].[All]" dimensionUniqueName="[tblSales]" displayFolder="" count="0" memberValueDatatype="130" unbalanced="0"/>
    <cacheHierarchy uniqueName="[tblSales].[PaymentMethod]" caption="PaymentMethod" attribute="1" defaultMemberUniqueName="[tblSales].[PaymentMethod].[All]" allUniqueName="[tblSales].[PaymentMethod].[All]" dimensionUniqueName="[tblSales]" displayFolder="" count="0" memberValueDatatype="130" unbalanced="0"/>
    <cacheHierarchy uniqueName="[Calender].[Date (Day Index)]" caption="Date (Day Index)" attribute="1" defaultMemberUniqueName="[Calender].[Date (Day Index)].[All]" allUniqueName="[Calender].[Date (Day Index)].[All]" dimensionUniqueName="[Calender]" displayFolder="" count="0" memberValueDatatype="5" unbalanced="0" hidden="1"/>
    <cacheHierarchy uniqueName="[Calender].[Date (Month Index)]" caption="Date (Month Index)" attribute="1" defaultMemberUniqueName="[Calender].[Date (Month Index)].[All]" allUniqueName="[Calender].[Date (Month Index)].[All]" dimensionUniqueName="[Calender]" displayFolder="" count="0" memberValueDatatype="20" unbalanced="0" hidden="1"/>
    <cacheHierarchy uniqueName="[Measures].[__XL_Count tblSales]" caption="__XL_Count tblSales" measure="1" displayFolder="" measureGroup="tblSales" count="0" hidden="1"/>
    <cacheHierarchy uniqueName="[Measures].[__XL_Count tblExpenses]" caption="__XL_Count tblExpenses" measure="1" displayFolder="" measureGroup="tblExpenses" count="0" hidden="1"/>
    <cacheHierarchy uniqueName="[Measures].[__XL_Count tblInventory]" caption="__XL_Count tblInventory" measure="1" displayFolder="" measureGroup="tblInventory" count="0" hidden="1"/>
    <cacheHierarchy uniqueName="[Measures].[__XL_Count Calender]" caption="__XL_Count Calender" measure="1" displayFolder="" measureGroup="Calender" count="0" hidden="1"/>
    <cacheHierarchy uniqueName="[Measures].[__No measures defined]" caption="__No measures defined" measure="1" displayFolder="" count="0" hidden="1"/>
    <cacheHierarchy uniqueName="[Measures].[Sum of Sales]" caption="Sum of Sales" measure="1" displayFolder="" measureGroup="tblSales" count="0" hidden="1">
      <extLst>
        <ext xmlns:x15="http://schemas.microsoft.com/office/spreadsheetml/2010/11/main" uri="{B97F6D7D-B522-45F9-BDA1-12C45D357490}">
          <x15:cacheHierarchy aggregatedColumn="30"/>
        </ext>
      </extLst>
    </cacheHierarchy>
    <cacheHierarchy uniqueName="[Measures].[Sum of Amount]" caption="Sum of Amount" measure="1" displayFolder="" measureGroup="tblExpenses" count="0" hidden="1">
      <extLst>
        <ext xmlns:x15="http://schemas.microsoft.com/office/spreadsheetml/2010/11/main" uri="{B97F6D7D-B522-45F9-BDA1-12C45D357490}">
          <x15:cacheHierarchy aggregatedColumn="12"/>
        </ext>
      </extLst>
    </cacheHierarchy>
    <cacheHierarchy uniqueName="[Measures].[Sum of Profit]" caption="Sum of Profit" measure="1" displayFolder="" measureGroup="tblSales" count="0" oneField="1" hidden="1">
      <fieldsUsage count="1">
        <fieldUsage x="1"/>
      </fieldsUsage>
      <extLst>
        <ext xmlns:x15="http://schemas.microsoft.com/office/spreadsheetml/2010/11/main" uri="{B97F6D7D-B522-45F9-BDA1-12C45D357490}">
          <x15:cacheHierarchy aggregatedColumn="32"/>
        </ext>
      </extLst>
    </cacheHierarchy>
    <cacheHierarchy uniqueName="[Measures].[Sum of StockBalance]" caption="Sum of StockBalance" measure="1" displayFolder="" measureGroup="tblInventory" count="0" hidden="1">
      <extLst>
        <ext xmlns:x15="http://schemas.microsoft.com/office/spreadsheetml/2010/11/main" uri="{B97F6D7D-B522-45F9-BDA1-12C45D357490}">
          <x15:cacheHierarchy aggregatedColumn="20"/>
        </ext>
      </extLst>
    </cacheHierarchy>
    <cacheHierarchy uniqueName="[Measures].[Sum of ReorderLevel]" caption="Sum of ReorderLevel" measure="1" displayFolder="" measureGroup="tblInventory" count="0" hidden="1">
      <extLst>
        <ext xmlns:x15="http://schemas.microsoft.com/office/spreadsheetml/2010/11/main" uri="{B97F6D7D-B522-45F9-BDA1-12C45D357490}">
          <x15:cacheHierarchy aggregatedColumn="21"/>
        </ext>
      </extLst>
    </cacheHierarchy>
    <cacheHierarchy uniqueName="[Measures].[Count of StockBalance]" caption="Count of StockBalance" measure="1" displayFolder="" measureGroup="tblInventory" count="0" hidden="1">
      <extLst>
        <ext xmlns:x15="http://schemas.microsoft.com/office/spreadsheetml/2010/11/main" uri="{B97F6D7D-B522-45F9-BDA1-12C45D357490}">
          <x15:cacheHierarchy aggregatedColumn="20"/>
        </ext>
      </extLst>
    </cacheHierarchy>
    <cacheHierarchy uniqueName="[Measures].[Max of StockBalance]" caption="Max of StockBalance" measure="1" displayFolder="" measureGroup="tblInventory" count="0" hidden="1">
      <extLst>
        <ext xmlns:x15="http://schemas.microsoft.com/office/spreadsheetml/2010/11/main" uri="{B97F6D7D-B522-45F9-BDA1-12C45D357490}">
          <x15:cacheHierarchy aggregatedColumn="20"/>
        </ext>
      </extLst>
    </cacheHierarchy>
    <cacheHierarchy uniqueName="[Measures].[Max of ReorderLevel]" caption="Max of ReorderLevel" measure="1" displayFolder="" measureGroup="tblInventory" count="0" hidden="1">
      <extLst>
        <ext xmlns:x15="http://schemas.microsoft.com/office/spreadsheetml/2010/11/main" uri="{B97F6D7D-B522-45F9-BDA1-12C45D357490}">
          <x15:cacheHierarchy aggregatedColumn="21"/>
        </ext>
      </extLst>
    </cacheHierarchy>
  </cacheHierarchies>
  <kpis count="0"/>
  <dimensions count="5">
    <dimension name="Calender" uniqueName="[Calender]" caption="Calender"/>
    <dimension measure="1" name="Measures" uniqueName="[Measures]" caption="Measures"/>
    <dimension name="tblExpenses" uniqueName="[tblExpenses]" caption="tblExpenses"/>
    <dimension name="tblInventory" uniqueName="[tblInventory]" caption="tblInventory"/>
    <dimension name="tblSales" uniqueName="[tblSales]" caption="tblSales"/>
  </dimensions>
  <measureGroups count="4">
    <measureGroup name="Calender" caption="Calender"/>
    <measureGroup name="tblExpenses" caption="tblExpenses"/>
    <measureGroup name="tblInventory" caption="tblInventory"/>
    <measureGroup name="tblSales" caption="tblSales"/>
  </measureGroups>
  <maps count="7">
    <map measureGroup="0" dimension="0"/>
    <map measureGroup="1" dimension="0"/>
    <map measureGroup="1" dimension="2"/>
    <map measureGroup="2" dimension="0"/>
    <map measureGroup="2" dimension="3"/>
    <map measureGroup="3" dimension="0"/>
    <map measureGroup="3" dimension="4"/>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6.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Oluwaseyi Ajayi" refreshedDate="46058.37261273148" backgroundQuery="1" createdVersion="8" refreshedVersion="8" minRefreshableVersion="3" recordCount="0" supportSubquery="1" supportAdvancedDrill="1" xr:uid="{EA56B93F-F470-4027-A15D-1B92932BF7A9}">
  <cacheSource type="external" connectionId="1"/>
  <cacheFields count="3">
    <cacheField name="[Measures].[Sum of Amount]" caption="Sum of Amount" numFmtId="0" hierarchy="43" level="32767"/>
    <cacheField name="[tblInventory].[ProductName].[ProductName]" caption="ProductName" numFmtId="0" hierarchy="17" level="1">
      <sharedItems containsSemiMixedTypes="0" containsNonDate="0" containsString="0"/>
    </cacheField>
    <cacheField name="[Calender].[Date].[Date]" caption="Date" numFmtId="0" level="1">
      <sharedItems containsSemiMixedTypes="0" containsNonDate="0" containsString="0"/>
    </cacheField>
  </cacheFields>
  <cacheHierarchies count="50">
    <cacheHierarchy uniqueName="[Calender].[Date]" caption="Date" attribute="1" time="1" defaultMemberUniqueName="[Calender].[Date].[All]" allUniqueName="[Calender].[Date].[All]" dimensionUniqueName="[Calender]" displayFolder="" count="2" memberValueDatatype="7" unbalanced="0">
      <fieldsUsage count="2">
        <fieldUsage x="-1"/>
        <fieldUsage x="2"/>
      </fieldsUsage>
    </cacheHierarchy>
    <cacheHierarchy uniqueName="[Calender].[Year]" caption="Year" attribute="1" defaultMemberUniqueName="[Calender].[Year].[All]" allUniqueName="[Calender].[Year].[All]" dimensionUniqueName="[Calender]" displayFolder="" count="0" memberValueDatatype="20" unbalanced="0"/>
    <cacheHierarchy uniqueName="[Calender].[Month]" caption="Month" attribute="1" defaultMemberUniqueName="[Calender].[Month].[All]" allUniqueName="[Calender].[Month].[All]" dimensionUniqueName="[Calender]" displayFolder="" count="0" memberValueDatatype="130" unbalanced="0"/>
    <cacheHierarchy uniqueName="[Calender].[Month No]" caption="Month No" attribute="1" defaultMemberUniqueName="[Calender].[Month No].[All]" allUniqueName="[Calender].[Month No].[All]" dimensionUniqueName="[Calender]" displayFolder="" count="0" memberValueDatatype="20" unbalanced="0"/>
    <cacheHierarchy uniqueName="[Calender].[Day]" caption="Day" attribute="1" defaultMemberUniqueName="[Calender].[Day].[All]" allUniqueName="[Calender].[Day].[All]" dimensionUniqueName="[Calender]" displayFolder="" count="0" memberValueDatatype="20" unbalanced="0"/>
    <cacheHierarchy uniqueName="[Calender].[Date (Year)]" caption="Date (Year)" attribute="1" defaultMemberUniqueName="[Calender].[Date (Year)].[All]" allUniqueName="[Calender].[Date (Year)].[All]" dimensionUniqueName="[Calender]" displayFolder="" count="0" memberValueDatatype="130" unbalanced="0"/>
    <cacheHierarchy uniqueName="[Calender].[Date (Quarter)]" caption="Date (Quarter)" attribute="1" defaultMemberUniqueName="[Calender].[Date (Quarter)].[All]" allUniqueName="[Calender].[Date (Quarter)].[All]" dimensionUniqueName="[Calender]" displayFolder="" count="0" memberValueDatatype="130" unbalanced="0"/>
    <cacheHierarchy uniqueName="[Calender].[Date (Month)]" caption="Date (Month)" attribute="1" defaultMemberUniqueName="[Calender].[Date (Month)].[All]" allUniqueName="[Calender].[Date (Month)].[All]" dimensionUniqueName="[Calender]" displayFolder="" count="0" memberValueDatatype="130" unbalanced="0"/>
    <cacheHierarchy uniqueName="[Calender].[Date (Day)]" caption="Date (Day)" attribute="1" defaultMemberUniqueName="[Calender].[Date (Day)].[All]" allUniqueName="[Calender].[Date (Day)].[All]" dimensionUniqueName="[Calender]" displayFolder="" count="0" memberValueDatatype="130" unbalanced="0"/>
    <cacheHierarchy uniqueName="[tblExpenses].[Date]" caption="Date" attribute="1" time="1" defaultMemberUniqueName="[tblExpenses].[Date].[All]" allUniqueName="[tblExpenses].[Date].[All]" dimensionUniqueName="[tblExpenses]" displayFolder="" count="0" memberValueDatatype="7" unbalanced="0"/>
    <cacheHierarchy uniqueName="[tblExpenses].[OutletID]" caption="OutletID" attribute="1" defaultMemberUniqueName="[tblExpenses].[OutletID].[All]" allUniqueName="[tblExpenses].[OutletID].[All]" dimensionUniqueName="[tblExpenses]" displayFolder="" count="0" memberValueDatatype="130" unbalanced="0"/>
    <cacheHierarchy uniqueName="[tblExpenses].[Category]" caption="Category" attribute="1" defaultMemberUniqueName="[tblExpenses].[Category].[All]" allUniqueName="[tblExpenses].[Category].[All]" dimensionUniqueName="[tblExpenses]" displayFolder="" count="0" memberValueDatatype="130" unbalanced="0"/>
    <cacheHierarchy uniqueName="[tblExpenses].[Amount]" caption="Amount" attribute="1" defaultMemberUniqueName="[tblExpenses].[Amount].[All]" allUniqueName="[tblExpenses].[Amount].[All]" dimensionUniqueName="[tblExpenses]" displayFolder="" count="0" memberValueDatatype="20" unbalanced="0"/>
    <cacheHierarchy uniqueName="[tblExpenses].[Notes]" caption="Notes" attribute="1" defaultMemberUniqueName="[tblExpenses].[Notes].[All]" allUniqueName="[tblExpenses].[Notes].[All]" dimensionUniqueName="[tblExpenses]" displayFolder="" count="0" memberValueDatatype="130" unbalanced="0"/>
    <cacheHierarchy uniqueName="[tblInventory].[Date]" caption="Date" attribute="1" time="1" defaultMemberUniqueName="[tblInventory].[Date].[All]" allUniqueName="[tblInventory].[Date].[All]" dimensionUniqueName="[tblInventory]" displayFolder="" count="0" memberValueDatatype="7" unbalanced="0"/>
    <cacheHierarchy uniqueName="[tblInventory].[OutletID]" caption="OutletID" attribute="1" defaultMemberUniqueName="[tblInventory].[OutletID].[All]" allUniqueName="[tblInventory].[OutletID].[All]" dimensionUniqueName="[tblInventory]" displayFolder="" count="0" memberValueDatatype="130" unbalanced="0"/>
    <cacheHierarchy uniqueName="[tblInventory].[ProductID]" caption="ProductID" attribute="1" defaultMemberUniqueName="[tblInventory].[ProductID].[All]" allUniqueName="[tblInventory].[ProductID].[All]" dimensionUniqueName="[tblInventory]" displayFolder="" count="0" memberValueDatatype="130" unbalanced="0"/>
    <cacheHierarchy uniqueName="[tblInventory].[ProductName]" caption="ProductName" attribute="1" defaultMemberUniqueName="[tblInventory].[ProductName].[All]" allUniqueName="[tblInventory].[ProductName].[All]" dimensionUniqueName="[tblInventory]" displayFolder="" count="2" memberValueDatatype="130" unbalanced="0">
      <fieldsUsage count="2">
        <fieldUsage x="-1"/>
        <fieldUsage x="1"/>
      </fieldsUsage>
    </cacheHierarchy>
    <cacheHierarchy uniqueName="[tblInventory].[StockIn]" caption="StockIn" attribute="1" defaultMemberUniqueName="[tblInventory].[StockIn].[All]" allUniqueName="[tblInventory].[StockIn].[All]" dimensionUniqueName="[tblInventory]" displayFolder="" count="0" memberValueDatatype="20" unbalanced="0"/>
    <cacheHierarchy uniqueName="[tblInventory].[StockOut]" caption="StockOut" attribute="1" defaultMemberUniqueName="[tblInventory].[StockOut].[All]" allUniqueName="[tblInventory].[StockOut].[All]" dimensionUniqueName="[tblInventory]" displayFolder="" count="0" memberValueDatatype="20" unbalanced="0"/>
    <cacheHierarchy uniqueName="[tblInventory].[StockBalance]" caption="StockBalance" attribute="1" defaultMemberUniqueName="[tblInventory].[StockBalance].[All]" allUniqueName="[tblInventory].[StockBalance].[All]" dimensionUniqueName="[tblInventory]" displayFolder="" count="0" memberValueDatatype="20" unbalanced="0"/>
    <cacheHierarchy uniqueName="[tblInventory].[ReorderLevel]" caption="ReorderLevel" attribute="1" defaultMemberUniqueName="[tblInventory].[ReorderLevel].[All]" allUniqueName="[tblInventory].[ReorderLevel].[All]" dimensionUniqueName="[tblInventory]" displayFolder="" count="0" memberValueDatatype="20" unbalanced="0"/>
    <cacheHierarchy uniqueName="[tblInventory].[Stock Status]" caption="Stock Status" attribute="1" defaultMemberUniqueName="[tblInventory].[Stock Status].[All]" allUniqueName="[tblInventory].[Stock Status].[All]" dimensionUniqueName="[tblInventory]" displayFolder="" count="0" memberValueDatatype="130" unbalanced="0"/>
    <cacheHierarchy uniqueName="[tblSales].[Date]" caption="Date" attribute="1" time="1" defaultMemberUniqueName="[tblSales].[Date].[All]" allUniqueName="[tblSales].[Date].[All]" dimensionUniqueName="[tblSales]" displayFolder="" count="0" memberValueDatatype="7" unbalanced="0"/>
    <cacheHierarchy uniqueName="[tblSales].[InvoiceID]" caption="InvoiceID" attribute="1" defaultMemberUniqueName="[tblSales].[InvoiceID].[All]" allUniqueName="[tblSales].[InvoiceID].[All]" dimensionUniqueName="[tblSales]" displayFolder="" count="0" memberValueDatatype="130" unbalanced="0"/>
    <cacheHierarchy uniqueName="[tblSales].[ProductID]" caption="ProductID" attribute="1" defaultMemberUniqueName="[tblSales].[ProductID].[All]" allUniqueName="[tblSales].[ProductID].[All]" dimensionUniqueName="[tblSales]" displayFolder="" count="0" memberValueDatatype="130" unbalanced="0"/>
    <cacheHierarchy uniqueName="[tblSales].[ProductName]" caption="ProductName" attribute="1" defaultMemberUniqueName="[tblSales].[ProductName].[All]" allUniqueName="[tblSales].[ProductName].[All]" dimensionUniqueName="[tblSales]" displayFolder="" count="2" memberValueDatatype="130" unbalanced="0"/>
    <cacheHierarchy uniqueName="[tblSales].[QtySold]" caption="QtySold" attribute="1" defaultMemberUniqueName="[tblSales].[QtySold].[All]" allUniqueName="[tblSales].[QtySold].[All]" dimensionUniqueName="[tblSales]" displayFolder="" count="0" memberValueDatatype="20" unbalanced="0"/>
    <cacheHierarchy uniqueName="[tblSales].[UnitPrice]" caption="UnitPrice" attribute="1" defaultMemberUniqueName="[tblSales].[UnitPrice].[All]" allUniqueName="[tblSales].[UnitPrice].[All]" dimensionUniqueName="[tblSales]" displayFolder="" count="0" memberValueDatatype="20" unbalanced="0"/>
    <cacheHierarchy uniqueName="[tblSales].[CostPerProduct]" caption="CostPerProduct" attribute="1" defaultMemberUniqueName="[tblSales].[CostPerProduct].[All]" allUniqueName="[tblSales].[CostPerProduct].[All]" dimensionUniqueName="[tblSales]" displayFolder="" count="0" memberValueDatatype="20" unbalanced="0"/>
    <cacheHierarchy uniqueName="[tblSales].[Sales]" caption="Sales" attribute="1" defaultMemberUniqueName="[tblSales].[Sales].[All]" allUniqueName="[tblSales].[Sales].[All]" dimensionUniqueName="[tblSales]" displayFolder="" count="0" memberValueDatatype="20" unbalanced="0"/>
    <cacheHierarchy uniqueName="[tblSales].[Cost]" caption="Cost" attribute="1" defaultMemberUniqueName="[tblSales].[Cost].[All]" allUniqueName="[tblSales].[Cost].[All]" dimensionUniqueName="[tblSales]" displayFolder="" count="0" memberValueDatatype="20" unbalanced="0"/>
    <cacheHierarchy uniqueName="[tblSales].[Profit]" caption="Profit" attribute="1" defaultMemberUniqueName="[tblSales].[Profit].[All]" allUniqueName="[tblSales].[Profit].[All]" dimensionUniqueName="[tblSales]" displayFolder="" count="0" memberValueDatatype="20" unbalanced="0"/>
    <cacheHierarchy uniqueName="[tblSales].[Customer]" caption="Customer" attribute="1" defaultMemberUniqueName="[tblSales].[Customer].[All]" allUniqueName="[tblSales].[Customer].[All]" dimensionUniqueName="[tblSales]" displayFolder="" count="0" memberValueDatatype="130" unbalanced="0"/>
    <cacheHierarchy uniqueName="[tblSales].[PaymentMethod]" caption="PaymentMethod" attribute="1" defaultMemberUniqueName="[tblSales].[PaymentMethod].[All]" allUniqueName="[tblSales].[PaymentMethod].[All]" dimensionUniqueName="[tblSales]" displayFolder="" count="0" memberValueDatatype="130" unbalanced="0"/>
    <cacheHierarchy uniqueName="[Calender].[Date (Day Index)]" caption="Date (Day Index)" attribute="1" defaultMemberUniqueName="[Calender].[Date (Day Index)].[All]" allUniqueName="[Calender].[Date (Day Index)].[All]" dimensionUniqueName="[Calender]" displayFolder="" count="0" memberValueDatatype="5" unbalanced="0" hidden="1"/>
    <cacheHierarchy uniqueName="[Calender].[Date (Month Index)]" caption="Date (Month Index)" attribute="1" defaultMemberUniqueName="[Calender].[Date (Month Index)].[All]" allUniqueName="[Calender].[Date (Month Index)].[All]" dimensionUniqueName="[Calender]" displayFolder="" count="0" memberValueDatatype="20" unbalanced="0" hidden="1"/>
    <cacheHierarchy uniqueName="[Measures].[__XL_Count tblSales]" caption="__XL_Count tblSales" measure="1" displayFolder="" measureGroup="tblSales" count="0" hidden="1"/>
    <cacheHierarchy uniqueName="[Measures].[__XL_Count tblExpenses]" caption="__XL_Count tblExpenses" measure="1" displayFolder="" measureGroup="tblExpenses" count="0" hidden="1"/>
    <cacheHierarchy uniqueName="[Measures].[__XL_Count tblInventory]" caption="__XL_Count tblInventory" measure="1" displayFolder="" measureGroup="tblInventory" count="0" hidden="1"/>
    <cacheHierarchy uniqueName="[Measures].[__XL_Count Calender]" caption="__XL_Count Calender" measure="1" displayFolder="" measureGroup="Calender" count="0" hidden="1"/>
    <cacheHierarchy uniqueName="[Measures].[__No measures defined]" caption="__No measures defined" measure="1" displayFolder="" count="0" hidden="1"/>
    <cacheHierarchy uniqueName="[Measures].[Sum of Sales]" caption="Sum of Sales" measure="1" displayFolder="" measureGroup="tblSales" count="0" hidden="1">
      <extLst>
        <ext xmlns:x15="http://schemas.microsoft.com/office/spreadsheetml/2010/11/main" uri="{B97F6D7D-B522-45F9-BDA1-12C45D357490}">
          <x15:cacheHierarchy aggregatedColumn="30"/>
        </ext>
      </extLst>
    </cacheHierarchy>
    <cacheHierarchy uniqueName="[Measures].[Sum of Amount]" caption="Sum of Amount" measure="1" displayFolder="" measureGroup="tblExpenses" count="0" oneField="1" hidden="1">
      <fieldsUsage count="1">
        <fieldUsage x="0"/>
      </fieldsUsage>
      <extLst>
        <ext xmlns:x15="http://schemas.microsoft.com/office/spreadsheetml/2010/11/main" uri="{B97F6D7D-B522-45F9-BDA1-12C45D357490}">
          <x15:cacheHierarchy aggregatedColumn="12"/>
        </ext>
      </extLst>
    </cacheHierarchy>
    <cacheHierarchy uniqueName="[Measures].[Sum of Profit]" caption="Sum of Profit" measure="1" displayFolder="" measureGroup="tblSales" count="0" hidden="1">
      <extLst>
        <ext xmlns:x15="http://schemas.microsoft.com/office/spreadsheetml/2010/11/main" uri="{B97F6D7D-B522-45F9-BDA1-12C45D357490}">
          <x15:cacheHierarchy aggregatedColumn="32"/>
        </ext>
      </extLst>
    </cacheHierarchy>
    <cacheHierarchy uniqueName="[Measures].[Sum of StockBalance]" caption="Sum of StockBalance" measure="1" displayFolder="" measureGroup="tblInventory" count="0" hidden="1">
      <extLst>
        <ext xmlns:x15="http://schemas.microsoft.com/office/spreadsheetml/2010/11/main" uri="{B97F6D7D-B522-45F9-BDA1-12C45D357490}">
          <x15:cacheHierarchy aggregatedColumn="20"/>
        </ext>
      </extLst>
    </cacheHierarchy>
    <cacheHierarchy uniqueName="[Measures].[Sum of ReorderLevel]" caption="Sum of ReorderLevel" measure="1" displayFolder="" measureGroup="tblInventory" count="0" hidden="1">
      <extLst>
        <ext xmlns:x15="http://schemas.microsoft.com/office/spreadsheetml/2010/11/main" uri="{B97F6D7D-B522-45F9-BDA1-12C45D357490}">
          <x15:cacheHierarchy aggregatedColumn="21"/>
        </ext>
      </extLst>
    </cacheHierarchy>
    <cacheHierarchy uniqueName="[Measures].[Count of StockBalance]" caption="Count of StockBalance" measure="1" displayFolder="" measureGroup="tblInventory" count="0" hidden="1">
      <extLst>
        <ext xmlns:x15="http://schemas.microsoft.com/office/spreadsheetml/2010/11/main" uri="{B97F6D7D-B522-45F9-BDA1-12C45D357490}">
          <x15:cacheHierarchy aggregatedColumn="20"/>
        </ext>
      </extLst>
    </cacheHierarchy>
    <cacheHierarchy uniqueName="[Measures].[Max of StockBalance]" caption="Max of StockBalance" measure="1" displayFolder="" measureGroup="tblInventory" count="0" hidden="1">
      <extLst>
        <ext xmlns:x15="http://schemas.microsoft.com/office/spreadsheetml/2010/11/main" uri="{B97F6D7D-B522-45F9-BDA1-12C45D357490}">
          <x15:cacheHierarchy aggregatedColumn="20"/>
        </ext>
      </extLst>
    </cacheHierarchy>
    <cacheHierarchy uniqueName="[Measures].[Max of ReorderLevel]" caption="Max of ReorderLevel" measure="1" displayFolder="" measureGroup="tblInventory" count="0" hidden="1">
      <extLst>
        <ext xmlns:x15="http://schemas.microsoft.com/office/spreadsheetml/2010/11/main" uri="{B97F6D7D-B522-45F9-BDA1-12C45D357490}">
          <x15:cacheHierarchy aggregatedColumn="21"/>
        </ext>
      </extLst>
    </cacheHierarchy>
  </cacheHierarchies>
  <kpis count="0"/>
  <dimensions count="5">
    <dimension name="Calender" uniqueName="[Calender]" caption="Calender"/>
    <dimension measure="1" name="Measures" uniqueName="[Measures]" caption="Measures"/>
    <dimension name="tblExpenses" uniqueName="[tblExpenses]" caption="tblExpenses"/>
    <dimension name="tblInventory" uniqueName="[tblInventory]" caption="tblInventory"/>
    <dimension name="tblSales" uniqueName="[tblSales]" caption="tblSales"/>
  </dimensions>
  <measureGroups count="4">
    <measureGroup name="Calender" caption="Calender"/>
    <measureGroup name="tblExpenses" caption="tblExpenses"/>
    <measureGroup name="tblInventory" caption="tblInventory"/>
    <measureGroup name="tblSales" caption="tblSales"/>
  </measureGroups>
  <maps count="7">
    <map measureGroup="0" dimension="0"/>
    <map measureGroup="1" dimension="0"/>
    <map measureGroup="1" dimension="2"/>
    <map measureGroup="2" dimension="0"/>
    <map measureGroup="2" dimension="3"/>
    <map measureGroup="3" dimension="0"/>
    <map measureGroup="3" dimension="4"/>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7.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Oluwaseyi Ajayi" refreshedDate="46058.37261273148" backgroundQuery="1" createdVersion="8" refreshedVersion="8" minRefreshableVersion="3" recordCount="0" supportSubquery="1" supportAdvancedDrill="1" xr:uid="{5C866EDE-FA33-45B7-8AF6-02CF0C55B5B7}">
  <cacheSource type="external" connectionId="1"/>
  <cacheFields count="3">
    <cacheField name="[Measures].[Sum of Profit]" caption="Sum of Profit" numFmtId="0" hierarchy="44" level="32767"/>
    <cacheField name="[tblInventory].[ProductName].[ProductName]" caption="ProductName" numFmtId="0" hierarchy="17" level="1">
      <sharedItems containsSemiMixedTypes="0" containsNonDate="0" containsString="0"/>
    </cacheField>
    <cacheField name="[Calender].[Date].[Date]" caption="Date" numFmtId="0" level="1">
      <sharedItems containsSemiMixedTypes="0" containsNonDate="0" containsString="0"/>
    </cacheField>
  </cacheFields>
  <cacheHierarchies count="50">
    <cacheHierarchy uniqueName="[Calender].[Date]" caption="Date" attribute="1" time="1" defaultMemberUniqueName="[Calender].[Date].[All]" allUniqueName="[Calender].[Date].[All]" dimensionUniqueName="[Calender]" displayFolder="" count="2" memberValueDatatype="7" unbalanced="0">
      <fieldsUsage count="2">
        <fieldUsage x="-1"/>
        <fieldUsage x="2"/>
      </fieldsUsage>
    </cacheHierarchy>
    <cacheHierarchy uniqueName="[Calender].[Year]" caption="Year" attribute="1" defaultMemberUniqueName="[Calender].[Year].[All]" allUniqueName="[Calender].[Year].[All]" dimensionUniqueName="[Calender]" displayFolder="" count="0" memberValueDatatype="20" unbalanced="0"/>
    <cacheHierarchy uniqueName="[Calender].[Month]" caption="Month" attribute="1" defaultMemberUniqueName="[Calender].[Month].[All]" allUniqueName="[Calender].[Month].[All]" dimensionUniqueName="[Calender]" displayFolder="" count="0" memberValueDatatype="130" unbalanced="0"/>
    <cacheHierarchy uniqueName="[Calender].[Month No]" caption="Month No" attribute="1" defaultMemberUniqueName="[Calender].[Month No].[All]" allUniqueName="[Calender].[Month No].[All]" dimensionUniqueName="[Calender]" displayFolder="" count="0" memberValueDatatype="20" unbalanced="0"/>
    <cacheHierarchy uniqueName="[Calender].[Day]" caption="Day" attribute="1" defaultMemberUniqueName="[Calender].[Day].[All]" allUniqueName="[Calender].[Day].[All]" dimensionUniqueName="[Calender]" displayFolder="" count="0" memberValueDatatype="20" unbalanced="0"/>
    <cacheHierarchy uniqueName="[Calender].[Date (Year)]" caption="Date (Year)" attribute="1" defaultMemberUniqueName="[Calender].[Date (Year)].[All]" allUniqueName="[Calender].[Date (Year)].[All]" dimensionUniqueName="[Calender]" displayFolder="" count="0" memberValueDatatype="130" unbalanced="0"/>
    <cacheHierarchy uniqueName="[Calender].[Date (Quarter)]" caption="Date (Quarter)" attribute="1" defaultMemberUniqueName="[Calender].[Date (Quarter)].[All]" allUniqueName="[Calender].[Date (Quarter)].[All]" dimensionUniqueName="[Calender]" displayFolder="" count="0" memberValueDatatype="130" unbalanced="0"/>
    <cacheHierarchy uniqueName="[Calender].[Date (Month)]" caption="Date (Month)" attribute="1" defaultMemberUniqueName="[Calender].[Date (Month)].[All]" allUniqueName="[Calender].[Date (Month)].[All]" dimensionUniqueName="[Calender]" displayFolder="" count="0" memberValueDatatype="130" unbalanced="0"/>
    <cacheHierarchy uniqueName="[Calender].[Date (Day)]" caption="Date (Day)" attribute="1" defaultMemberUniqueName="[Calender].[Date (Day)].[All]" allUniqueName="[Calender].[Date (Day)].[All]" dimensionUniqueName="[Calender]" displayFolder="" count="0" memberValueDatatype="130" unbalanced="0"/>
    <cacheHierarchy uniqueName="[tblExpenses].[Date]" caption="Date" attribute="1" time="1" defaultMemberUniqueName="[tblExpenses].[Date].[All]" allUniqueName="[tblExpenses].[Date].[All]" dimensionUniqueName="[tblExpenses]" displayFolder="" count="0" memberValueDatatype="7" unbalanced="0"/>
    <cacheHierarchy uniqueName="[tblExpenses].[OutletID]" caption="OutletID" attribute="1" defaultMemberUniqueName="[tblExpenses].[OutletID].[All]" allUniqueName="[tblExpenses].[OutletID].[All]" dimensionUniqueName="[tblExpenses]" displayFolder="" count="0" memberValueDatatype="130" unbalanced="0"/>
    <cacheHierarchy uniqueName="[tblExpenses].[Category]" caption="Category" attribute="1" defaultMemberUniqueName="[tblExpenses].[Category].[All]" allUniqueName="[tblExpenses].[Category].[All]" dimensionUniqueName="[tblExpenses]" displayFolder="" count="0" memberValueDatatype="130" unbalanced="0"/>
    <cacheHierarchy uniqueName="[tblExpenses].[Amount]" caption="Amount" attribute="1" defaultMemberUniqueName="[tblExpenses].[Amount].[All]" allUniqueName="[tblExpenses].[Amount].[All]" dimensionUniqueName="[tblExpenses]" displayFolder="" count="0" memberValueDatatype="20" unbalanced="0"/>
    <cacheHierarchy uniqueName="[tblExpenses].[Notes]" caption="Notes" attribute="1" defaultMemberUniqueName="[tblExpenses].[Notes].[All]" allUniqueName="[tblExpenses].[Notes].[All]" dimensionUniqueName="[tblExpenses]" displayFolder="" count="0" memberValueDatatype="130" unbalanced="0"/>
    <cacheHierarchy uniqueName="[tblInventory].[Date]" caption="Date" attribute="1" time="1" defaultMemberUniqueName="[tblInventory].[Date].[All]" allUniqueName="[tblInventory].[Date].[All]" dimensionUniqueName="[tblInventory]" displayFolder="" count="0" memberValueDatatype="7" unbalanced="0"/>
    <cacheHierarchy uniqueName="[tblInventory].[OutletID]" caption="OutletID" attribute="1" defaultMemberUniqueName="[tblInventory].[OutletID].[All]" allUniqueName="[tblInventory].[OutletID].[All]" dimensionUniqueName="[tblInventory]" displayFolder="" count="0" memberValueDatatype="130" unbalanced="0"/>
    <cacheHierarchy uniqueName="[tblInventory].[ProductID]" caption="ProductID" attribute="1" defaultMemberUniqueName="[tblInventory].[ProductID].[All]" allUniqueName="[tblInventory].[ProductID].[All]" dimensionUniqueName="[tblInventory]" displayFolder="" count="0" memberValueDatatype="130" unbalanced="0"/>
    <cacheHierarchy uniqueName="[tblInventory].[ProductName]" caption="ProductName" attribute="1" defaultMemberUniqueName="[tblInventory].[ProductName].[All]" allUniqueName="[tblInventory].[ProductName].[All]" dimensionUniqueName="[tblInventory]" displayFolder="" count="2" memberValueDatatype="130" unbalanced="0">
      <fieldsUsage count="2">
        <fieldUsage x="-1"/>
        <fieldUsage x="1"/>
      </fieldsUsage>
    </cacheHierarchy>
    <cacheHierarchy uniqueName="[tblInventory].[StockIn]" caption="StockIn" attribute="1" defaultMemberUniqueName="[tblInventory].[StockIn].[All]" allUniqueName="[tblInventory].[StockIn].[All]" dimensionUniqueName="[tblInventory]" displayFolder="" count="0" memberValueDatatype="20" unbalanced="0"/>
    <cacheHierarchy uniqueName="[tblInventory].[StockOut]" caption="StockOut" attribute="1" defaultMemberUniqueName="[tblInventory].[StockOut].[All]" allUniqueName="[tblInventory].[StockOut].[All]" dimensionUniqueName="[tblInventory]" displayFolder="" count="0" memberValueDatatype="20" unbalanced="0"/>
    <cacheHierarchy uniqueName="[tblInventory].[StockBalance]" caption="StockBalance" attribute="1" defaultMemberUniqueName="[tblInventory].[StockBalance].[All]" allUniqueName="[tblInventory].[StockBalance].[All]" dimensionUniqueName="[tblInventory]" displayFolder="" count="0" memberValueDatatype="20" unbalanced="0"/>
    <cacheHierarchy uniqueName="[tblInventory].[ReorderLevel]" caption="ReorderLevel" attribute="1" defaultMemberUniqueName="[tblInventory].[ReorderLevel].[All]" allUniqueName="[tblInventory].[ReorderLevel].[All]" dimensionUniqueName="[tblInventory]" displayFolder="" count="0" memberValueDatatype="20" unbalanced="0"/>
    <cacheHierarchy uniqueName="[tblInventory].[Stock Status]" caption="Stock Status" attribute="1" defaultMemberUniqueName="[tblInventory].[Stock Status].[All]" allUniqueName="[tblInventory].[Stock Status].[All]" dimensionUniqueName="[tblInventory]" displayFolder="" count="0" memberValueDatatype="130" unbalanced="0"/>
    <cacheHierarchy uniqueName="[tblSales].[Date]" caption="Date" attribute="1" time="1" defaultMemberUniqueName="[tblSales].[Date].[All]" allUniqueName="[tblSales].[Date].[All]" dimensionUniqueName="[tblSales]" displayFolder="" count="0" memberValueDatatype="7" unbalanced="0"/>
    <cacheHierarchy uniqueName="[tblSales].[InvoiceID]" caption="InvoiceID" attribute="1" defaultMemberUniqueName="[tblSales].[InvoiceID].[All]" allUniqueName="[tblSales].[InvoiceID].[All]" dimensionUniqueName="[tblSales]" displayFolder="" count="0" memberValueDatatype="130" unbalanced="0"/>
    <cacheHierarchy uniqueName="[tblSales].[ProductID]" caption="ProductID" attribute="1" defaultMemberUniqueName="[tblSales].[ProductID].[All]" allUniqueName="[tblSales].[ProductID].[All]" dimensionUniqueName="[tblSales]" displayFolder="" count="0" memberValueDatatype="130" unbalanced="0"/>
    <cacheHierarchy uniqueName="[tblSales].[ProductName]" caption="ProductName" attribute="1" defaultMemberUniqueName="[tblSales].[ProductName].[All]" allUniqueName="[tblSales].[ProductName].[All]" dimensionUniqueName="[tblSales]" displayFolder="" count="2" memberValueDatatype="130" unbalanced="0"/>
    <cacheHierarchy uniqueName="[tblSales].[QtySold]" caption="QtySold" attribute="1" defaultMemberUniqueName="[tblSales].[QtySold].[All]" allUniqueName="[tblSales].[QtySold].[All]" dimensionUniqueName="[tblSales]" displayFolder="" count="0" memberValueDatatype="20" unbalanced="0"/>
    <cacheHierarchy uniqueName="[tblSales].[UnitPrice]" caption="UnitPrice" attribute="1" defaultMemberUniqueName="[tblSales].[UnitPrice].[All]" allUniqueName="[tblSales].[UnitPrice].[All]" dimensionUniqueName="[tblSales]" displayFolder="" count="0" memberValueDatatype="20" unbalanced="0"/>
    <cacheHierarchy uniqueName="[tblSales].[CostPerProduct]" caption="CostPerProduct" attribute="1" defaultMemberUniqueName="[tblSales].[CostPerProduct].[All]" allUniqueName="[tblSales].[CostPerProduct].[All]" dimensionUniqueName="[tblSales]" displayFolder="" count="0" memberValueDatatype="20" unbalanced="0"/>
    <cacheHierarchy uniqueName="[tblSales].[Sales]" caption="Sales" attribute="1" defaultMemberUniqueName="[tblSales].[Sales].[All]" allUniqueName="[tblSales].[Sales].[All]" dimensionUniqueName="[tblSales]" displayFolder="" count="0" memberValueDatatype="20" unbalanced="0"/>
    <cacheHierarchy uniqueName="[tblSales].[Cost]" caption="Cost" attribute="1" defaultMemberUniqueName="[tblSales].[Cost].[All]" allUniqueName="[tblSales].[Cost].[All]" dimensionUniqueName="[tblSales]" displayFolder="" count="0" memberValueDatatype="20" unbalanced="0"/>
    <cacheHierarchy uniqueName="[tblSales].[Profit]" caption="Profit" attribute="1" defaultMemberUniqueName="[tblSales].[Profit].[All]" allUniqueName="[tblSales].[Profit].[All]" dimensionUniqueName="[tblSales]" displayFolder="" count="0" memberValueDatatype="20" unbalanced="0"/>
    <cacheHierarchy uniqueName="[tblSales].[Customer]" caption="Customer" attribute="1" defaultMemberUniqueName="[tblSales].[Customer].[All]" allUniqueName="[tblSales].[Customer].[All]" dimensionUniqueName="[tblSales]" displayFolder="" count="0" memberValueDatatype="130" unbalanced="0"/>
    <cacheHierarchy uniqueName="[tblSales].[PaymentMethod]" caption="PaymentMethod" attribute="1" defaultMemberUniqueName="[tblSales].[PaymentMethod].[All]" allUniqueName="[tblSales].[PaymentMethod].[All]" dimensionUniqueName="[tblSales]" displayFolder="" count="0" memberValueDatatype="130" unbalanced="0"/>
    <cacheHierarchy uniqueName="[Calender].[Date (Day Index)]" caption="Date (Day Index)" attribute="1" defaultMemberUniqueName="[Calender].[Date (Day Index)].[All]" allUniqueName="[Calender].[Date (Day Index)].[All]" dimensionUniqueName="[Calender]" displayFolder="" count="0" memberValueDatatype="5" unbalanced="0" hidden="1"/>
    <cacheHierarchy uniqueName="[Calender].[Date (Month Index)]" caption="Date (Month Index)" attribute="1" defaultMemberUniqueName="[Calender].[Date (Month Index)].[All]" allUniqueName="[Calender].[Date (Month Index)].[All]" dimensionUniqueName="[Calender]" displayFolder="" count="0" memberValueDatatype="20" unbalanced="0" hidden="1"/>
    <cacheHierarchy uniqueName="[Measures].[__XL_Count tblSales]" caption="__XL_Count tblSales" measure="1" displayFolder="" measureGroup="tblSales" count="0" hidden="1"/>
    <cacheHierarchy uniqueName="[Measures].[__XL_Count tblExpenses]" caption="__XL_Count tblExpenses" measure="1" displayFolder="" measureGroup="tblExpenses" count="0" hidden="1"/>
    <cacheHierarchy uniqueName="[Measures].[__XL_Count tblInventory]" caption="__XL_Count tblInventory" measure="1" displayFolder="" measureGroup="tblInventory" count="0" hidden="1"/>
    <cacheHierarchy uniqueName="[Measures].[__XL_Count Calender]" caption="__XL_Count Calender" measure="1" displayFolder="" measureGroup="Calender" count="0" hidden="1"/>
    <cacheHierarchy uniqueName="[Measures].[__No measures defined]" caption="__No measures defined" measure="1" displayFolder="" count="0" hidden="1"/>
    <cacheHierarchy uniqueName="[Measures].[Sum of Sales]" caption="Sum of Sales" measure="1" displayFolder="" measureGroup="tblSales" count="0" hidden="1">
      <extLst>
        <ext xmlns:x15="http://schemas.microsoft.com/office/spreadsheetml/2010/11/main" uri="{B97F6D7D-B522-45F9-BDA1-12C45D357490}">
          <x15:cacheHierarchy aggregatedColumn="30"/>
        </ext>
      </extLst>
    </cacheHierarchy>
    <cacheHierarchy uniqueName="[Measures].[Sum of Amount]" caption="Sum of Amount" measure="1" displayFolder="" measureGroup="tblExpenses" count="0" hidden="1">
      <extLst>
        <ext xmlns:x15="http://schemas.microsoft.com/office/spreadsheetml/2010/11/main" uri="{B97F6D7D-B522-45F9-BDA1-12C45D357490}">
          <x15:cacheHierarchy aggregatedColumn="12"/>
        </ext>
      </extLst>
    </cacheHierarchy>
    <cacheHierarchy uniqueName="[Measures].[Sum of Profit]" caption="Sum of Profit" measure="1" displayFolder="" measureGroup="tblSales" count="0" oneField="1" hidden="1">
      <fieldsUsage count="1">
        <fieldUsage x="0"/>
      </fieldsUsage>
      <extLst>
        <ext xmlns:x15="http://schemas.microsoft.com/office/spreadsheetml/2010/11/main" uri="{B97F6D7D-B522-45F9-BDA1-12C45D357490}">
          <x15:cacheHierarchy aggregatedColumn="32"/>
        </ext>
      </extLst>
    </cacheHierarchy>
    <cacheHierarchy uniqueName="[Measures].[Sum of StockBalance]" caption="Sum of StockBalance" measure="1" displayFolder="" measureGroup="tblInventory" count="0" hidden="1">
      <extLst>
        <ext xmlns:x15="http://schemas.microsoft.com/office/spreadsheetml/2010/11/main" uri="{B97F6D7D-B522-45F9-BDA1-12C45D357490}">
          <x15:cacheHierarchy aggregatedColumn="20"/>
        </ext>
      </extLst>
    </cacheHierarchy>
    <cacheHierarchy uniqueName="[Measures].[Sum of ReorderLevel]" caption="Sum of ReorderLevel" measure="1" displayFolder="" measureGroup="tblInventory" count="0" hidden="1">
      <extLst>
        <ext xmlns:x15="http://schemas.microsoft.com/office/spreadsheetml/2010/11/main" uri="{B97F6D7D-B522-45F9-BDA1-12C45D357490}">
          <x15:cacheHierarchy aggregatedColumn="21"/>
        </ext>
      </extLst>
    </cacheHierarchy>
    <cacheHierarchy uniqueName="[Measures].[Count of StockBalance]" caption="Count of StockBalance" measure="1" displayFolder="" measureGroup="tblInventory" count="0" hidden="1">
      <extLst>
        <ext xmlns:x15="http://schemas.microsoft.com/office/spreadsheetml/2010/11/main" uri="{B97F6D7D-B522-45F9-BDA1-12C45D357490}">
          <x15:cacheHierarchy aggregatedColumn="20"/>
        </ext>
      </extLst>
    </cacheHierarchy>
    <cacheHierarchy uniqueName="[Measures].[Max of StockBalance]" caption="Max of StockBalance" measure="1" displayFolder="" measureGroup="tblInventory" count="0" hidden="1">
      <extLst>
        <ext xmlns:x15="http://schemas.microsoft.com/office/spreadsheetml/2010/11/main" uri="{B97F6D7D-B522-45F9-BDA1-12C45D357490}">
          <x15:cacheHierarchy aggregatedColumn="20"/>
        </ext>
      </extLst>
    </cacheHierarchy>
    <cacheHierarchy uniqueName="[Measures].[Max of ReorderLevel]" caption="Max of ReorderLevel" measure="1" displayFolder="" measureGroup="tblInventory" count="0" hidden="1">
      <extLst>
        <ext xmlns:x15="http://schemas.microsoft.com/office/spreadsheetml/2010/11/main" uri="{B97F6D7D-B522-45F9-BDA1-12C45D357490}">
          <x15:cacheHierarchy aggregatedColumn="21"/>
        </ext>
      </extLst>
    </cacheHierarchy>
  </cacheHierarchies>
  <kpis count="0"/>
  <dimensions count="5">
    <dimension name="Calender" uniqueName="[Calender]" caption="Calender"/>
    <dimension measure="1" name="Measures" uniqueName="[Measures]" caption="Measures"/>
    <dimension name="tblExpenses" uniqueName="[tblExpenses]" caption="tblExpenses"/>
    <dimension name="tblInventory" uniqueName="[tblInventory]" caption="tblInventory"/>
    <dimension name="tblSales" uniqueName="[tblSales]" caption="tblSales"/>
  </dimensions>
  <measureGroups count="4">
    <measureGroup name="Calender" caption="Calender"/>
    <measureGroup name="tblExpenses" caption="tblExpenses"/>
    <measureGroup name="tblInventory" caption="tblInventory"/>
    <measureGroup name="tblSales" caption="tblSales"/>
  </measureGroups>
  <maps count="7">
    <map measureGroup="0" dimension="0"/>
    <map measureGroup="1" dimension="0"/>
    <map measureGroup="1" dimension="2"/>
    <map measureGroup="2" dimension="0"/>
    <map measureGroup="2" dimension="3"/>
    <map measureGroup="3" dimension="0"/>
    <map measureGroup="3" dimension="4"/>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8.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Oluwaseyi Ajayi" refreshedDate="46058.372613310188" backgroundQuery="1" createdVersion="8" refreshedVersion="8" minRefreshableVersion="3" recordCount="0" supportSubquery="1" supportAdvancedDrill="1" xr:uid="{BA882610-010B-475B-8206-D0197E4DB0A5}">
  <cacheSource type="external" connectionId="1"/>
  <cacheFields count="2">
    <cacheField name="[Calender].[Date].[Date]" caption="Date" numFmtId="0" level="1">
      <sharedItems containsSemiMixedTypes="0" containsNonDate="0" containsDate="1" containsString="0" minDate="2025-01-01T00:00:00" maxDate="2025-01-13T00:00:00" count="9">
        <d v="2025-01-01T00:00:00"/>
        <d v="2025-01-02T00:00:00"/>
        <d v="2025-01-03T00:00:00"/>
        <d v="2025-01-04T00:00:00"/>
        <d v="2025-01-05T00:00:00"/>
        <d v="2025-01-09T00:00:00"/>
        <d v="2025-01-10T00:00:00"/>
        <d v="2025-01-11T00:00:00"/>
        <d v="2025-01-12T00:00:00"/>
      </sharedItems>
    </cacheField>
    <cacheField name="[Measures].[Sum of Sales]" caption="Sum of Sales" numFmtId="0" hierarchy="42" level="32767"/>
  </cacheFields>
  <cacheHierarchies count="50">
    <cacheHierarchy uniqueName="[Calender].[Date]" caption="Date" attribute="1" time="1" defaultMemberUniqueName="[Calender].[Date].[All]" allUniqueName="[Calender].[Date].[All]" dimensionUniqueName="[Calender]" displayFolder="" count="2" memberValueDatatype="7" unbalanced="0">
      <fieldsUsage count="2">
        <fieldUsage x="-1"/>
        <fieldUsage x="0"/>
      </fieldsUsage>
    </cacheHierarchy>
    <cacheHierarchy uniqueName="[Calender].[Year]" caption="Year" attribute="1" defaultMemberUniqueName="[Calender].[Year].[All]" allUniqueName="[Calender].[Year].[All]" dimensionUniqueName="[Calender]" displayFolder="" count="0" memberValueDatatype="20" unbalanced="0"/>
    <cacheHierarchy uniqueName="[Calender].[Month]" caption="Month" attribute="1" defaultMemberUniqueName="[Calender].[Month].[All]" allUniqueName="[Calender].[Month].[All]" dimensionUniqueName="[Calender]" displayFolder="" count="0" memberValueDatatype="130" unbalanced="0"/>
    <cacheHierarchy uniqueName="[Calender].[Month No]" caption="Month No" attribute="1" defaultMemberUniqueName="[Calender].[Month No].[All]" allUniqueName="[Calender].[Month No].[All]" dimensionUniqueName="[Calender]" displayFolder="" count="0" memberValueDatatype="20" unbalanced="0"/>
    <cacheHierarchy uniqueName="[Calender].[Day]" caption="Day" attribute="1" defaultMemberUniqueName="[Calender].[Day].[All]" allUniqueName="[Calender].[Day].[All]" dimensionUniqueName="[Calender]" displayFolder="" count="0" memberValueDatatype="20" unbalanced="0"/>
    <cacheHierarchy uniqueName="[Calender].[Date (Year)]" caption="Date (Year)" attribute="1" defaultMemberUniqueName="[Calender].[Date (Year)].[All]" allUniqueName="[Calender].[Date (Year)].[All]" dimensionUniqueName="[Calender]" displayFolder="" count="0" memberValueDatatype="130" unbalanced="0"/>
    <cacheHierarchy uniqueName="[Calender].[Date (Quarter)]" caption="Date (Quarter)" attribute="1" defaultMemberUniqueName="[Calender].[Date (Quarter)].[All]" allUniqueName="[Calender].[Date (Quarter)].[All]" dimensionUniqueName="[Calender]" displayFolder="" count="0" memberValueDatatype="130" unbalanced="0"/>
    <cacheHierarchy uniqueName="[Calender].[Date (Month)]" caption="Date (Month)" attribute="1" defaultMemberUniqueName="[Calender].[Date (Month)].[All]" allUniqueName="[Calender].[Date (Month)].[All]" dimensionUniqueName="[Calender]" displayFolder="" count="0" memberValueDatatype="130" unbalanced="0"/>
    <cacheHierarchy uniqueName="[Calender].[Date (Day)]" caption="Date (Day)" attribute="1" defaultMemberUniqueName="[Calender].[Date (Day)].[All]" allUniqueName="[Calender].[Date (Day)].[All]" dimensionUniqueName="[Calender]" displayFolder="" count="0" memberValueDatatype="130" unbalanced="0"/>
    <cacheHierarchy uniqueName="[tblExpenses].[Date]" caption="Date" attribute="1" time="1" defaultMemberUniqueName="[tblExpenses].[Date].[All]" allUniqueName="[tblExpenses].[Date].[All]" dimensionUniqueName="[tblExpenses]" displayFolder="" count="0" memberValueDatatype="7" unbalanced="0"/>
    <cacheHierarchy uniqueName="[tblExpenses].[OutletID]" caption="OutletID" attribute="1" defaultMemberUniqueName="[tblExpenses].[OutletID].[All]" allUniqueName="[tblExpenses].[OutletID].[All]" dimensionUniqueName="[tblExpenses]" displayFolder="" count="0" memberValueDatatype="130" unbalanced="0"/>
    <cacheHierarchy uniqueName="[tblExpenses].[Category]" caption="Category" attribute="1" defaultMemberUniqueName="[tblExpenses].[Category].[All]" allUniqueName="[tblExpenses].[Category].[All]" dimensionUniqueName="[tblExpenses]" displayFolder="" count="0" memberValueDatatype="130" unbalanced="0"/>
    <cacheHierarchy uniqueName="[tblExpenses].[Amount]" caption="Amount" attribute="1" defaultMemberUniqueName="[tblExpenses].[Amount].[All]" allUniqueName="[tblExpenses].[Amount].[All]" dimensionUniqueName="[tblExpenses]" displayFolder="" count="0" memberValueDatatype="20" unbalanced="0"/>
    <cacheHierarchy uniqueName="[tblExpenses].[Notes]" caption="Notes" attribute="1" defaultMemberUniqueName="[tblExpenses].[Notes].[All]" allUniqueName="[tblExpenses].[Notes].[All]" dimensionUniqueName="[tblExpenses]" displayFolder="" count="0" memberValueDatatype="130" unbalanced="0"/>
    <cacheHierarchy uniqueName="[tblInventory].[Date]" caption="Date" attribute="1" time="1" defaultMemberUniqueName="[tblInventory].[Date].[All]" allUniqueName="[tblInventory].[Date].[All]" dimensionUniqueName="[tblInventory]" displayFolder="" count="0" memberValueDatatype="7" unbalanced="0"/>
    <cacheHierarchy uniqueName="[tblInventory].[OutletID]" caption="OutletID" attribute="1" defaultMemberUniqueName="[tblInventory].[OutletID].[All]" allUniqueName="[tblInventory].[OutletID].[All]" dimensionUniqueName="[tblInventory]" displayFolder="" count="0" memberValueDatatype="130" unbalanced="0"/>
    <cacheHierarchy uniqueName="[tblInventory].[ProductID]" caption="ProductID" attribute="1" defaultMemberUniqueName="[tblInventory].[ProductID].[All]" allUniqueName="[tblInventory].[ProductID].[All]" dimensionUniqueName="[tblInventory]" displayFolder="" count="0" memberValueDatatype="130" unbalanced="0"/>
    <cacheHierarchy uniqueName="[tblInventory].[ProductName]" caption="ProductName" attribute="1" defaultMemberUniqueName="[tblInventory].[ProductName].[All]" allUniqueName="[tblInventory].[ProductName].[All]" dimensionUniqueName="[tblInventory]" displayFolder="" count="0" memberValueDatatype="130" unbalanced="0"/>
    <cacheHierarchy uniqueName="[tblInventory].[StockIn]" caption="StockIn" attribute="1" defaultMemberUniqueName="[tblInventory].[StockIn].[All]" allUniqueName="[tblInventory].[StockIn].[All]" dimensionUniqueName="[tblInventory]" displayFolder="" count="0" memberValueDatatype="20" unbalanced="0"/>
    <cacheHierarchy uniqueName="[tblInventory].[StockOut]" caption="StockOut" attribute="1" defaultMemberUniqueName="[tblInventory].[StockOut].[All]" allUniqueName="[tblInventory].[StockOut].[All]" dimensionUniqueName="[tblInventory]" displayFolder="" count="0" memberValueDatatype="20" unbalanced="0"/>
    <cacheHierarchy uniqueName="[tblInventory].[StockBalance]" caption="StockBalance" attribute="1" defaultMemberUniqueName="[tblInventory].[StockBalance].[All]" allUniqueName="[tblInventory].[StockBalance].[All]" dimensionUniqueName="[tblInventory]" displayFolder="" count="0" memberValueDatatype="20" unbalanced="0"/>
    <cacheHierarchy uniqueName="[tblInventory].[ReorderLevel]" caption="ReorderLevel" attribute="1" defaultMemberUniqueName="[tblInventory].[ReorderLevel].[All]" allUniqueName="[tblInventory].[ReorderLevel].[All]" dimensionUniqueName="[tblInventory]" displayFolder="" count="0" memberValueDatatype="20" unbalanced="0"/>
    <cacheHierarchy uniqueName="[tblInventory].[Stock Status]" caption="Stock Status" attribute="1" defaultMemberUniqueName="[tblInventory].[Stock Status].[All]" allUniqueName="[tblInventory].[Stock Status].[All]" dimensionUniqueName="[tblInventory]" displayFolder="" count="0" memberValueDatatype="130" unbalanced="0"/>
    <cacheHierarchy uniqueName="[tblSales].[Date]" caption="Date" attribute="1" time="1" defaultMemberUniqueName="[tblSales].[Date].[All]" allUniqueName="[tblSales].[Date].[All]" dimensionUniqueName="[tblSales]" displayFolder="" count="0" memberValueDatatype="7" unbalanced="0"/>
    <cacheHierarchy uniqueName="[tblSales].[InvoiceID]" caption="InvoiceID" attribute="1" defaultMemberUniqueName="[tblSales].[InvoiceID].[All]" allUniqueName="[tblSales].[InvoiceID].[All]" dimensionUniqueName="[tblSales]" displayFolder="" count="0" memberValueDatatype="130" unbalanced="0"/>
    <cacheHierarchy uniqueName="[tblSales].[ProductID]" caption="ProductID" attribute="1" defaultMemberUniqueName="[tblSales].[ProductID].[All]" allUniqueName="[tblSales].[ProductID].[All]" dimensionUniqueName="[tblSales]" displayFolder="" count="0" memberValueDatatype="130" unbalanced="0"/>
    <cacheHierarchy uniqueName="[tblSales].[ProductName]" caption="ProductName" attribute="1" defaultMemberUniqueName="[tblSales].[ProductName].[All]" allUniqueName="[tblSales].[ProductName].[All]" dimensionUniqueName="[tblSales]" displayFolder="" count="2" memberValueDatatype="130" unbalanced="0"/>
    <cacheHierarchy uniqueName="[tblSales].[QtySold]" caption="QtySold" attribute="1" defaultMemberUniqueName="[tblSales].[QtySold].[All]" allUniqueName="[tblSales].[QtySold].[All]" dimensionUniqueName="[tblSales]" displayFolder="" count="0" memberValueDatatype="20" unbalanced="0"/>
    <cacheHierarchy uniqueName="[tblSales].[UnitPrice]" caption="UnitPrice" attribute="1" defaultMemberUniqueName="[tblSales].[UnitPrice].[All]" allUniqueName="[tblSales].[UnitPrice].[All]" dimensionUniqueName="[tblSales]" displayFolder="" count="0" memberValueDatatype="20" unbalanced="0"/>
    <cacheHierarchy uniqueName="[tblSales].[CostPerProduct]" caption="CostPerProduct" attribute="1" defaultMemberUniqueName="[tblSales].[CostPerProduct].[All]" allUniqueName="[tblSales].[CostPerProduct].[All]" dimensionUniqueName="[tblSales]" displayFolder="" count="0" memberValueDatatype="20" unbalanced="0"/>
    <cacheHierarchy uniqueName="[tblSales].[Sales]" caption="Sales" attribute="1" defaultMemberUniqueName="[tblSales].[Sales].[All]" allUniqueName="[tblSales].[Sales].[All]" dimensionUniqueName="[tblSales]" displayFolder="" count="0" memberValueDatatype="20" unbalanced="0"/>
    <cacheHierarchy uniqueName="[tblSales].[Cost]" caption="Cost" attribute="1" defaultMemberUniqueName="[tblSales].[Cost].[All]" allUniqueName="[tblSales].[Cost].[All]" dimensionUniqueName="[tblSales]" displayFolder="" count="0" memberValueDatatype="20" unbalanced="0"/>
    <cacheHierarchy uniqueName="[tblSales].[Profit]" caption="Profit" attribute="1" defaultMemberUniqueName="[tblSales].[Profit].[All]" allUniqueName="[tblSales].[Profit].[All]" dimensionUniqueName="[tblSales]" displayFolder="" count="0" memberValueDatatype="20" unbalanced="0"/>
    <cacheHierarchy uniqueName="[tblSales].[Customer]" caption="Customer" attribute="1" defaultMemberUniqueName="[tblSales].[Customer].[All]" allUniqueName="[tblSales].[Customer].[All]" dimensionUniqueName="[tblSales]" displayFolder="" count="0" memberValueDatatype="130" unbalanced="0"/>
    <cacheHierarchy uniqueName="[tblSales].[PaymentMethod]" caption="PaymentMethod" attribute="1" defaultMemberUniqueName="[tblSales].[PaymentMethod].[All]" allUniqueName="[tblSales].[PaymentMethod].[All]" dimensionUniqueName="[tblSales]" displayFolder="" count="0" memberValueDatatype="130" unbalanced="0"/>
    <cacheHierarchy uniqueName="[Calender].[Date (Day Index)]" caption="Date (Day Index)" attribute="1" defaultMemberUniqueName="[Calender].[Date (Day Index)].[All]" allUniqueName="[Calender].[Date (Day Index)].[All]" dimensionUniqueName="[Calender]" displayFolder="" count="0" memberValueDatatype="5" unbalanced="0" hidden="1"/>
    <cacheHierarchy uniqueName="[Calender].[Date (Month Index)]" caption="Date (Month Index)" attribute="1" defaultMemberUniqueName="[Calender].[Date (Month Index)].[All]" allUniqueName="[Calender].[Date (Month Index)].[All]" dimensionUniqueName="[Calender]" displayFolder="" count="0" memberValueDatatype="20" unbalanced="0" hidden="1"/>
    <cacheHierarchy uniqueName="[Measures].[__XL_Count tblSales]" caption="__XL_Count tblSales" measure="1" displayFolder="" measureGroup="tblSales" count="0" hidden="1"/>
    <cacheHierarchy uniqueName="[Measures].[__XL_Count tblExpenses]" caption="__XL_Count tblExpenses" measure="1" displayFolder="" measureGroup="tblExpenses" count="0" hidden="1"/>
    <cacheHierarchy uniqueName="[Measures].[__XL_Count tblInventory]" caption="__XL_Count tblInventory" measure="1" displayFolder="" measureGroup="tblInventory" count="0" hidden="1"/>
    <cacheHierarchy uniqueName="[Measures].[__XL_Count Calender]" caption="__XL_Count Calender" measure="1" displayFolder="" measureGroup="Calender" count="0" hidden="1"/>
    <cacheHierarchy uniqueName="[Measures].[__No measures defined]" caption="__No measures defined" measure="1" displayFolder="" count="0" hidden="1"/>
    <cacheHierarchy uniqueName="[Measures].[Sum of Sales]" caption="Sum of Sales" measure="1" displayFolder="" measureGroup="tblSales" count="0" oneField="1" hidden="1">
      <fieldsUsage count="1">
        <fieldUsage x="1"/>
      </fieldsUsage>
      <extLst>
        <ext xmlns:x15="http://schemas.microsoft.com/office/spreadsheetml/2010/11/main" uri="{B97F6D7D-B522-45F9-BDA1-12C45D357490}">
          <x15:cacheHierarchy aggregatedColumn="30"/>
        </ext>
      </extLst>
    </cacheHierarchy>
    <cacheHierarchy uniqueName="[Measures].[Sum of Amount]" caption="Sum of Amount" measure="1" displayFolder="" measureGroup="tblExpenses" count="0" hidden="1">
      <extLst>
        <ext xmlns:x15="http://schemas.microsoft.com/office/spreadsheetml/2010/11/main" uri="{B97F6D7D-B522-45F9-BDA1-12C45D357490}">
          <x15:cacheHierarchy aggregatedColumn="12"/>
        </ext>
      </extLst>
    </cacheHierarchy>
    <cacheHierarchy uniqueName="[Measures].[Sum of Profit]" caption="Sum of Profit" measure="1" displayFolder="" measureGroup="tblSales" count="0" hidden="1">
      <extLst>
        <ext xmlns:x15="http://schemas.microsoft.com/office/spreadsheetml/2010/11/main" uri="{B97F6D7D-B522-45F9-BDA1-12C45D357490}">
          <x15:cacheHierarchy aggregatedColumn="32"/>
        </ext>
      </extLst>
    </cacheHierarchy>
    <cacheHierarchy uniqueName="[Measures].[Sum of StockBalance]" caption="Sum of StockBalance" measure="1" displayFolder="" measureGroup="tblInventory" count="0" hidden="1">
      <extLst>
        <ext xmlns:x15="http://schemas.microsoft.com/office/spreadsheetml/2010/11/main" uri="{B97F6D7D-B522-45F9-BDA1-12C45D357490}">
          <x15:cacheHierarchy aggregatedColumn="20"/>
        </ext>
      </extLst>
    </cacheHierarchy>
    <cacheHierarchy uniqueName="[Measures].[Sum of ReorderLevel]" caption="Sum of ReorderLevel" measure="1" displayFolder="" measureGroup="tblInventory" count="0" hidden="1">
      <extLst>
        <ext xmlns:x15="http://schemas.microsoft.com/office/spreadsheetml/2010/11/main" uri="{B97F6D7D-B522-45F9-BDA1-12C45D357490}">
          <x15:cacheHierarchy aggregatedColumn="21"/>
        </ext>
      </extLst>
    </cacheHierarchy>
    <cacheHierarchy uniqueName="[Measures].[Count of StockBalance]" caption="Count of StockBalance" measure="1" displayFolder="" measureGroup="tblInventory" count="0" hidden="1">
      <extLst>
        <ext xmlns:x15="http://schemas.microsoft.com/office/spreadsheetml/2010/11/main" uri="{B97F6D7D-B522-45F9-BDA1-12C45D357490}">
          <x15:cacheHierarchy aggregatedColumn="20"/>
        </ext>
      </extLst>
    </cacheHierarchy>
    <cacheHierarchy uniqueName="[Measures].[Max of StockBalance]" caption="Max of StockBalance" measure="1" displayFolder="" measureGroup="tblInventory" count="0" hidden="1">
      <extLst>
        <ext xmlns:x15="http://schemas.microsoft.com/office/spreadsheetml/2010/11/main" uri="{B97F6D7D-B522-45F9-BDA1-12C45D357490}">
          <x15:cacheHierarchy aggregatedColumn="20"/>
        </ext>
      </extLst>
    </cacheHierarchy>
    <cacheHierarchy uniqueName="[Measures].[Max of ReorderLevel]" caption="Max of ReorderLevel" measure="1" displayFolder="" measureGroup="tblInventory" count="0" hidden="1">
      <extLst>
        <ext xmlns:x15="http://schemas.microsoft.com/office/spreadsheetml/2010/11/main" uri="{B97F6D7D-B522-45F9-BDA1-12C45D357490}">
          <x15:cacheHierarchy aggregatedColumn="21"/>
        </ext>
      </extLst>
    </cacheHierarchy>
  </cacheHierarchies>
  <kpis count="0"/>
  <dimensions count="5">
    <dimension name="Calender" uniqueName="[Calender]" caption="Calender"/>
    <dimension measure="1" name="Measures" uniqueName="[Measures]" caption="Measures"/>
    <dimension name="tblExpenses" uniqueName="[tblExpenses]" caption="tblExpenses"/>
    <dimension name="tblInventory" uniqueName="[tblInventory]" caption="tblInventory"/>
    <dimension name="tblSales" uniqueName="[tblSales]" caption="tblSales"/>
  </dimensions>
  <measureGroups count="4">
    <measureGroup name="Calender" caption="Calender"/>
    <measureGroup name="tblExpenses" caption="tblExpenses"/>
    <measureGroup name="tblInventory" caption="tblInventory"/>
    <measureGroup name="tblSales" caption="tblSales"/>
  </measureGroups>
  <maps count="7">
    <map measureGroup="0" dimension="0"/>
    <map measureGroup="1" dimension="0"/>
    <map measureGroup="1" dimension="2"/>
    <map measureGroup="2" dimension="0"/>
    <map measureGroup="2" dimension="3"/>
    <map measureGroup="3" dimension="0"/>
    <map measureGroup="3" dimension="4"/>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9.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Oluwaseyi Ajayi" refreshedDate="46058.372613657404" backgroundQuery="1" createdVersion="8" refreshedVersion="8" minRefreshableVersion="3" recordCount="0" supportSubquery="1" supportAdvancedDrill="1" xr:uid="{91A3AB75-0C54-4892-8320-79622FA51822}">
  <cacheSource type="external" connectionId="1"/>
  <cacheFields count="5">
    <cacheField name="[tblInventory].[ProductName].[ProductName]" caption="ProductName" numFmtId="0" hierarchy="17" level="1">
      <sharedItems count="2">
        <s v="Bottle Water"/>
        <s v="Energy Drink"/>
      </sharedItems>
    </cacheField>
    <cacheField name="[Measures].[Max of StockBalance]" caption="Max of StockBalance" numFmtId="0" hierarchy="48" level="32767"/>
    <cacheField name="[Measures].[Max of ReorderLevel]" caption="Max of ReorderLevel" numFmtId="0" hierarchy="49" level="32767"/>
    <cacheField name="[tblInventory].[Stock Status].[Stock Status]" caption="Stock Status" numFmtId="0" hierarchy="22" level="1">
      <sharedItems containsSemiMixedTypes="0" containsNonDate="0" containsString="0"/>
    </cacheField>
    <cacheField name="[Calender].[Date].[Date]" caption="Date" numFmtId="0" level="1">
      <sharedItems containsSemiMixedTypes="0" containsNonDate="0" containsString="0"/>
    </cacheField>
  </cacheFields>
  <cacheHierarchies count="50">
    <cacheHierarchy uniqueName="[Calender].[Date]" caption="Date" attribute="1" time="1" defaultMemberUniqueName="[Calender].[Date].[All]" allUniqueName="[Calender].[Date].[All]" dimensionUniqueName="[Calender]" displayFolder="" count="2" memberValueDatatype="7" unbalanced="0">
      <fieldsUsage count="2">
        <fieldUsage x="-1"/>
        <fieldUsage x="4"/>
      </fieldsUsage>
    </cacheHierarchy>
    <cacheHierarchy uniqueName="[Calender].[Year]" caption="Year" attribute="1" defaultMemberUniqueName="[Calender].[Year].[All]" allUniqueName="[Calender].[Year].[All]" dimensionUniqueName="[Calender]" displayFolder="" count="0" memberValueDatatype="20" unbalanced="0"/>
    <cacheHierarchy uniqueName="[Calender].[Month]" caption="Month" attribute="1" defaultMemberUniqueName="[Calender].[Month].[All]" allUniqueName="[Calender].[Month].[All]" dimensionUniqueName="[Calender]" displayFolder="" count="0" memberValueDatatype="130" unbalanced="0"/>
    <cacheHierarchy uniqueName="[Calender].[Month No]" caption="Month No" attribute="1" defaultMemberUniqueName="[Calender].[Month No].[All]" allUniqueName="[Calender].[Month No].[All]" dimensionUniqueName="[Calender]" displayFolder="" count="0" memberValueDatatype="20" unbalanced="0"/>
    <cacheHierarchy uniqueName="[Calender].[Day]" caption="Day" attribute="1" defaultMemberUniqueName="[Calender].[Day].[All]" allUniqueName="[Calender].[Day].[All]" dimensionUniqueName="[Calender]" displayFolder="" count="0" memberValueDatatype="20" unbalanced="0"/>
    <cacheHierarchy uniqueName="[Calender].[Date (Year)]" caption="Date (Year)" attribute="1" defaultMemberUniqueName="[Calender].[Date (Year)].[All]" allUniqueName="[Calender].[Date (Year)].[All]" dimensionUniqueName="[Calender]" displayFolder="" count="0" memberValueDatatype="130" unbalanced="0"/>
    <cacheHierarchy uniqueName="[Calender].[Date (Quarter)]" caption="Date (Quarter)" attribute="1" defaultMemberUniqueName="[Calender].[Date (Quarter)].[All]" allUniqueName="[Calender].[Date (Quarter)].[All]" dimensionUniqueName="[Calender]" displayFolder="" count="0" memberValueDatatype="130" unbalanced="0"/>
    <cacheHierarchy uniqueName="[Calender].[Date (Month)]" caption="Date (Month)" attribute="1" defaultMemberUniqueName="[Calender].[Date (Month)].[All]" allUniqueName="[Calender].[Date (Month)].[All]" dimensionUniqueName="[Calender]" displayFolder="" count="0" memberValueDatatype="130" unbalanced="0"/>
    <cacheHierarchy uniqueName="[Calender].[Date (Day)]" caption="Date (Day)" attribute="1" defaultMemberUniqueName="[Calender].[Date (Day)].[All]" allUniqueName="[Calender].[Date (Day)].[All]" dimensionUniqueName="[Calender]" displayFolder="" count="0" memberValueDatatype="130" unbalanced="0"/>
    <cacheHierarchy uniqueName="[tblExpenses].[Date]" caption="Date" attribute="1" time="1" defaultMemberUniqueName="[tblExpenses].[Date].[All]" allUniqueName="[tblExpenses].[Date].[All]" dimensionUniqueName="[tblExpenses]" displayFolder="" count="0" memberValueDatatype="7" unbalanced="0"/>
    <cacheHierarchy uniqueName="[tblExpenses].[OutletID]" caption="OutletID" attribute="1" defaultMemberUniqueName="[tblExpenses].[OutletID].[All]" allUniqueName="[tblExpenses].[OutletID].[All]" dimensionUniqueName="[tblExpenses]" displayFolder="" count="0" memberValueDatatype="130" unbalanced="0"/>
    <cacheHierarchy uniqueName="[tblExpenses].[Category]" caption="Category" attribute="1" defaultMemberUniqueName="[tblExpenses].[Category].[All]" allUniqueName="[tblExpenses].[Category].[All]" dimensionUniqueName="[tblExpenses]" displayFolder="" count="0" memberValueDatatype="130" unbalanced="0"/>
    <cacheHierarchy uniqueName="[tblExpenses].[Amount]" caption="Amount" attribute="1" defaultMemberUniqueName="[tblExpenses].[Amount].[All]" allUniqueName="[tblExpenses].[Amount].[All]" dimensionUniqueName="[tblExpenses]" displayFolder="" count="0" memberValueDatatype="20" unbalanced="0"/>
    <cacheHierarchy uniqueName="[tblExpenses].[Notes]" caption="Notes" attribute="1" defaultMemberUniqueName="[tblExpenses].[Notes].[All]" allUniqueName="[tblExpenses].[Notes].[All]" dimensionUniqueName="[tblExpenses]" displayFolder="" count="0" memberValueDatatype="130" unbalanced="0"/>
    <cacheHierarchy uniqueName="[tblInventory].[Date]" caption="Date" attribute="1" time="1" defaultMemberUniqueName="[tblInventory].[Date].[All]" allUniqueName="[tblInventory].[Date].[All]" dimensionUniqueName="[tblInventory]" displayFolder="" count="0" memberValueDatatype="7" unbalanced="0"/>
    <cacheHierarchy uniqueName="[tblInventory].[OutletID]" caption="OutletID" attribute="1" defaultMemberUniqueName="[tblInventory].[OutletID].[All]" allUniqueName="[tblInventory].[OutletID].[All]" dimensionUniqueName="[tblInventory]" displayFolder="" count="0" memberValueDatatype="130" unbalanced="0"/>
    <cacheHierarchy uniqueName="[tblInventory].[ProductID]" caption="ProductID" attribute="1" defaultMemberUniqueName="[tblInventory].[ProductID].[All]" allUniqueName="[tblInventory].[ProductID].[All]" dimensionUniqueName="[tblInventory]" displayFolder="" count="0" memberValueDatatype="130" unbalanced="0"/>
    <cacheHierarchy uniqueName="[tblInventory].[ProductName]" caption="ProductName" attribute="1" defaultMemberUniqueName="[tblInventory].[ProductName].[All]" allUniqueName="[tblInventory].[ProductName].[All]" dimensionUniqueName="[tblInventory]" displayFolder="" count="2" memberValueDatatype="130" unbalanced="0">
      <fieldsUsage count="2">
        <fieldUsage x="-1"/>
        <fieldUsage x="0"/>
      </fieldsUsage>
    </cacheHierarchy>
    <cacheHierarchy uniqueName="[tblInventory].[StockIn]" caption="StockIn" attribute="1" defaultMemberUniqueName="[tblInventory].[StockIn].[All]" allUniqueName="[tblInventory].[StockIn].[All]" dimensionUniqueName="[tblInventory]" displayFolder="" count="0" memberValueDatatype="20" unbalanced="0"/>
    <cacheHierarchy uniqueName="[tblInventory].[StockOut]" caption="StockOut" attribute="1" defaultMemberUniqueName="[tblInventory].[StockOut].[All]" allUniqueName="[tblInventory].[StockOut].[All]" dimensionUniqueName="[tblInventory]" displayFolder="" count="0" memberValueDatatype="20" unbalanced="0"/>
    <cacheHierarchy uniqueName="[tblInventory].[StockBalance]" caption="StockBalance" attribute="1" defaultMemberUniqueName="[tblInventory].[StockBalance].[All]" allUniqueName="[tblInventory].[StockBalance].[All]" dimensionUniqueName="[tblInventory]" displayFolder="" count="0" memberValueDatatype="20" unbalanced="0"/>
    <cacheHierarchy uniqueName="[tblInventory].[ReorderLevel]" caption="ReorderLevel" attribute="1" defaultMemberUniqueName="[tblInventory].[ReorderLevel].[All]" allUniqueName="[tblInventory].[ReorderLevel].[All]" dimensionUniqueName="[tblInventory]" displayFolder="" count="0" memberValueDatatype="20" unbalanced="0"/>
    <cacheHierarchy uniqueName="[tblInventory].[Stock Status]" caption="Stock Status" attribute="1" defaultMemberUniqueName="[tblInventory].[Stock Status].[All]" allUniqueName="[tblInventory].[Stock Status].[All]" dimensionUniqueName="[tblInventory]" displayFolder="" count="2" memberValueDatatype="130" unbalanced="0">
      <fieldsUsage count="2">
        <fieldUsage x="-1"/>
        <fieldUsage x="3"/>
      </fieldsUsage>
    </cacheHierarchy>
    <cacheHierarchy uniqueName="[tblSales].[Date]" caption="Date" attribute="1" time="1" defaultMemberUniqueName="[tblSales].[Date].[All]" allUniqueName="[tblSales].[Date].[All]" dimensionUniqueName="[tblSales]" displayFolder="" count="0" memberValueDatatype="7" unbalanced="0"/>
    <cacheHierarchy uniqueName="[tblSales].[InvoiceID]" caption="InvoiceID" attribute="1" defaultMemberUniqueName="[tblSales].[InvoiceID].[All]" allUniqueName="[tblSales].[InvoiceID].[All]" dimensionUniqueName="[tblSales]" displayFolder="" count="0" memberValueDatatype="130" unbalanced="0"/>
    <cacheHierarchy uniqueName="[tblSales].[ProductID]" caption="ProductID" attribute="1" defaultMemberUniqueName="[tblSales].[ProductID].[All]" allUniqueName="[tblSales].[ProductID].[All]" dimensionUniqueName="[tblSales]" displayFolder="" count="0" memberValueDatatype="130" unbalanced="0"/>
    <cacheHierarchy uniqueName="[tblSales].[ProductName]" caption="ProductName" attribute="1" defaultMemberUniqueName="[tblSales].[ProductName].[All]" allUniqueName="[tblSales].[ProductName].[All]" dimensionUniqueName="[tblSales]" displayFolder="" count="2" memberValueDatatype="130" unbalanced="0"/>
    <cacheHierarchy uniqueName="[tblSales].[QtySold]" caption="QtySold" attribute="1" defaultMemberUniqueName="[tblSales].[QtySold].[All]" allUniqueName="[tblSales].[QtySold].[All]" dimensionUniqueName="[tblSales]" displayFolder="" count="0" memberValueDatatype="20" unbalanced="0"/>
    <cacheHierarchy uniqueName="[tblSales].[UnitPrice]" caption="UnitPrice" attribute="1" defaultMemberUniqueName="[tblSales].[UnitPrice].[All]" allUniqueName="[tblSales].[UnitPrice].[All]" dimensionUniqueName="[tblSales]" displayFolder="" count="0" memberValueDatatype="20" unbalanced="0"/>
    <cacheHierarchy uniqueName="[tblSales].[CostPerProduct]" caption="CostPerProduct" attribute="1" defaultMemberUniqueName="[tblSales].[CostPerProduct].[All]" allUniqueName="[tblSales].[CostPerProduct].[All]" dimensionUniqueName="[tblSales]" displayFolder="" count="0" memberValueDatatype="20" unbalanced="0"/>
    <cacheHierarchy uniqueName="[tblSales].[Sales]" caption="Sales" attribute="1" defaultMemberUniqueName="[tblSales].[Sales].[All]" allUniqueName="[tblSales].[Sales].[All]" dimensionUniqueName="[tblSales]" displayFolder="" count="0" memberValueDatatype="20" unbalanced="0"/>
    <cacheHierarchy uniqueName="[tblSales].[Cost]" caption="Cost" attribute="1" defaultMemberUniqueName="[tblSales].[Cost].[All]" allUniqueName="[tblSales].[Cost].[All]" dimensionUniqueName="[tblSales]" displayFolder="" count="0" memberValueDatatype="20" unbalanced="0"/>
    <cacheHierarchy uniqueName="[tblSales].[Profit]" caption="Profit" attribute="1" defaultMemberUniqueName="[tblSales].[Profit].[All]" allUniqueName="[tblSales].[Profit].[All]" dimensionUniqueName="[tblSales]" displayFolder="" count="0" memberValueDatatype="20" unbalanced="0"/>
    <cacheHierarchy uniqueName="[tblSales].[Customer]" caption="Customer" attribute="1" defaultMemberUniqueName="[tblSales].[Customer].[All]" allUniqueName="[tblSales].[Customer].[All]" dimensionUniqueName="[tblSales]" displayFolder="" count="0" memberValueDatatype="130" unbalanced="0"/>
    <cacheHierarchy uniqueName="[tblSales].[PaymentMethod]" caption="PaymentMethod" attribute="1" defaultMemberUniqueName="[tblSales].[PaymentMethod].[All]" allUniqueName="[tblSales].[PaymentMethod].[All]" dimensionUniqueName="[tblSales]" displayFolder="" count="0" memberValueDatatype="130" unbalanced="0"/>
    <cacheHierarchy uniqueName="[Calender].[Date (Day Index)]" caption="Date (Day Index)" attribute="1" defaultMemberUniqueName="[Calender].[Date (Day Index)].[All]" allUniqueName="[Calender].[Date (Day Index)].[All]" dimensionUniqueName="[Calender]" displayFolder="" count="0" memberValueDatatype="5" unbalanced="0" hidden="1"/>
    <cacheHierarchy uniqueName="[Calender].[Date (Month Index)]" caption="Date (Month Index)" attribute="1" defaultMemberUniqueName="[Calender].[Date (Month Index)].[All]" allUniqueName="[Calender].[Date (Month Index)].[All]" dimensionUniqueName="[Calender]" displayFolder="" count="0" memberValueDatatype="20" unbalanced="0" hidden="1"/>
    <cacheHierarchy uniqueName="[Measures].[__XL_Count tblSales]" caption="__XL_Count tblSales" measure="1" displayFolder="" measureGroup="tblSales" count="0" hidden="1"/>
    <cacheHierarchy uniqueName="[Measures].[__XL_Count tblExpenses]" caption="__XL_Count tblExpenses" measure="1" displayFolder="" measureGroup="tblExpenses" count="0" hidden="1"/>
    <cacheHierarchy uniqueName="[Measures].[__XL_Count tblInventory]" caption="__XL_Count tblInventory" measure="1" displayFolder="" measureGroup="tblInventory" count="0" hidden="1"/>
    <cacheHierarchy uniqueName="[Measures].[__XL_Count Calender]" caption="__XL_Count Calender" measure="1" displayFolder="" measureGroup="Calender" count="0" hidden="1"/>
    <cacheHierarchy uniqueName="[Measures].[__No measures defined]" caption="__No measures defined" measure="1" displayFolder="" count="0" hidden="1"/>
    <cacheHierarchy uniqueName="[Measures].[Sum of Sales]" caption="Sum of Sales" measure="1" displayFolder="" measureGroup="tblSales" count="0" hidden="1">
      <extLst>
        <ext xmlns:x15="http://schemas.microsoft.com/office/spreadsheetml/2010/11/main" uri="{B97F6D7D-B522-45F9-BDA1-12C45D357490}">
          <x15:cacheHierarchy aggregatedColumn="30"/>
        </ext>
      </extLst>
    </cacheHierarchy>
    <cacheHierarchy uniqueName="[Measures].[Sum of Amount]" caption="Sum of Amount" measure="1" displayFolder="" measureGroup="tblExpenses" count="0" hidden="1">
      <extLst>
        <ext xmlns:x15="http://schemas.microsoft.com/office/spreadsheetml/2010/11/main" uri="{B97F6D7D-B522-45F9-BDA1-12C45D357490}">
          <x15:cacheHierarchy aggregatedColumn="12"/>
        </ext>
      </extLst>
    </cacheHierarchy>
    <cacheHierarchy uniqueName="[Measures].[Sum of Profit]" caption="Sum of Profit" measure="1" displayFolder="" measureGroup="tblSales" count="0" hidden="1">
      <extLst>
        <ext xmlns:x15="http://schemas.microsoft.com/office/spreadsheetml/2010/11/main" uri="{B97F6D7D-B522-45F9-BDA1-12C45D357490}">
          <x15:cacheHierarchy aggregatedColumn="32"/>
        </ext>
      </extLst>
    </cacheHierarchy>
    <cacheHierarchy uniqueName="[Measures].[Sum of StockBalance]" caption="Sum of StockBalance" measure="1" displayFolder="" measureGroup="tblInventory" count="0" hidden="1">
      <extLst>
        <ext xmlns:x15="http://schemas.microsoft.com/office/spreadsheetml/2010/11/main" uri="{B97F6D7D-B522-45F9-BDA1-12C45D357490}">
          <x15:cacheHierarchy aggregatedColumn="20"/>
        </ext>
      </extLst>
    </cacheHierarchy>
    <cacheHierarchy uniqueName="[Measures].[Sum of ReorderLevel]" caption="Sum of ReorderLevel" measure="1" displayFolder="" measureGroup="tblInventory" count="0" hidden="1">
      <extLst>
        <ext xmlns:x15="http://schemas.microsoft.com/office/spreadsheetml/2010/11/main" uri="{B97F6D7D-B522-45F9-BDA1-12C45D357490}">
          <x15:cacheHierarchy aggregatedColumn="21"/>
        </ext>
      </extLst>
    </cacheHierarchy>
    <cacheHierarchy uniqueName="[Measures].[Count of StockBalance]" caption="Count of StockBalance" measure="1" displayFolder="" measureGroup="tblInventory" count="0" hidden="1">
      <extLst>
        <ext xmlns:x15="http://schemas.microsoft.com/office/spreadsheetml/2010/11/main" uri="{B97F6D7D-B522-45F9-BDA1-12C45D357490}">
          <x15:cacheHierarchy aggregatedColumn="20"/>
        </ext>
      </extLst>
    </cacheHierarchy>
    <cacheHierarchy uniqueName="[Measures].[Max of StockBalance]" caption="Max of StockBalance" measure="1" displayFolder="" measureGroup="tblInventory" count="0" oneField="1" hidden="1">
      <fieldsUsage count="1">
        <fieldUsage x="1"/>
      </fieldsUsage>
      <extLst>
        <ext xmlns:x15="http://schemas.microsoft.com/office/spreadsheetml/2010/11/main" uri="{B97F6D7D-B522-45F9-BDA1-12C45D357490}">
          <x15:cacheHierarchy aggregatedColumn="20"/>
        </ext>
      </extLst>
    </cacheHierarchy>
    <cacheHierarchy uniqueName="[Measures].[Max of ReorderLevel]" caption="Max of ReorderLevel" measure="1" displayFolder="" measureGroup="tblInventory" count="0" oneField="1" hidden="1">
      <fieldsUsage count="1">
        <fieldUsage x="2"/>
      </fieldsUsage>
      <extLst>
        <ext xmlns:x15="http://schemas.microsoft.com/office/spreadsheetml/2010/11/main" uri="{B97F6D7D-B522-45F9-BDA1-12C45D357490}">
          <x15:cacheHierarchy aggregatedColumn="21"/>
        </ext>
      </extLst>
    </cacheHierarchy>
  </cacheHierarchies>
  <kpis count="0"/>
  <dimensions count="5">
    <dimension name="Calender" uniqueName="[Calender]" caption="Calender"/>
    <dimension measure="1" name="Measures" uniqueName="[Measures]" caption="Measures"/>
    <dimension name="tblExpenses" uniqueName="[tblExpenses]" caption="tblExpenses"/>
    <dimension name="tblInventory" uniqueName="[tblInventory]" caption="tblInventory"/>
    <dimension name="tblSales" uniqueName="[tblSales]" caption="tblSales"/>
  </dimensions>
  <measureGroups count="4">
    <measureGroup name="Calender" caption="Calender"/>
    <measureGroup name="tblExpenses" caption="tblExpenses"/>
    <measureGroup name="tblInventory" caption="tblInventory"/>
    <measureGroup name="tblSales" caption="tblSales"/>
  </measureGroups>
  <maps count="7">
    <map measureGroup="0" dimension="0"/>
    <map measureGroup="1" dimension="0"/>
    <map measureGroup="1" dimension="2"/>
    <map measureGroup="2" dimension="0"/>
    <map measureGroup="2" dimension="3"/>
    <map measureGroup="3" dimension="0"/>
    <map measureGroup="3" dimension="4"/>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10.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Oluwaseyi Ajayi" refreshedDate="46058.372460648148" backgroundQuery="1" createdVersion="3" refreshedVersion="8" minRefreshableVersion="3" recordCount="0" supportSubquery="1" supportAdvancedDrill="1" xr:uid="{2EC7878E-668F-4BFA-B825-F855D599F781}">
  <cacheSource type="external" connectionId="1">
    <extLst>
      <ext xmlns:x14="http://schemas.microsoft.com/office/spreadsheetml/2009/9/main" uri="{F057638F-6D5F-4e77-A914-E7F072B9BCA8}">
        <x14:sourceConnection name="ThisWorkbookDataModel"/>
      </ext>
    </extLst>
  </cacheSource>
  <cacheFields count="0"/>
  <cacheHierarchies count="50">
    <cacheHierarchy uniqueName="[Calender].[Date]" caption="Date" attribute="1" time="1" defaultMemberUniqueName="[Calender].[Date].[All]" allUniqueName="[Calender].[Date].[All]" dimensionUniqueName="[Calender]" displayFolder="" count="2" memberValueDatatype="7" unbalanced="0"/>
    <cacheHierarchy uniqueName="[Calender].[Year]" caption="Year" attribute="1" defaultMemberUniqueName="[Calender].[Year].[All]" allUniqueName="[Calender].[Year].[All]" dimensionUniqueName="[Calender]" displayFolder="" count="0" memberValueDatatype="20" unbalanced="0"/>
    <cacheHierarchy uniqueName="[Calender].[Month]" caption="Month" attribute="1" defaultMemberUniqueName="[Calender].[Month].[All]" allUniqueName="[Calender].[Month].[All]" dimensionUniqueName="[Calender]" displayFolder="" count="0" memberValueDatatype="130" unbalanced="0"/>
    <cacheHierarchy uniqueName="[Calender].[Month No]" caption="Month No" attribute="1" defaultMemberUniqueName="[Calender].[Month No].[All]" allUniqueName="[Calender].[Month No].[All]" dimensionUniqueName="[Calender]" displayFolder="" count="0" memberValueDatatype="20" unbalanced="0"/>
    <cacheHierarchy uniqueName="[Calender].[Day]" caption="Day" attribute="1" defaultMemberUniqueName="[Calender].[Day].[All]" allUniqueName="[Calender].[Day].[All]" dimensionUniqueName="[Calender]" displayFolder="" count="0" memberValueDatatype="20" unbalanced="0"/>
    <cacheHierarchy uniqueName="[Calender].[Date (Year)]" caption="Date (Year)" attribute="1" defaultMemberUniqueName="[Calender].[Date (Year)].[All]" allUniqueName="[Calender].[Date (Year)].[All]" dimensionUniqueName="[Calender]" displayFolder="" count="0" memberValueDatatype="130" unbalanced="0"/>
    <cacheHierarchy uniqueName="[Calender].[Date (Quarter)]" caption="Date (Quarter)" attribute="1" defaultMemberUniqueName="[Calender].[Date (Quarter)].[All]" allUniqueName="[Calender].[Date (Quarter)].[All]" dimensionUniqueName="[Calender]" displayFolder="" count="0" memberValueDatatype="130" unbalanced="0"/>
    <cacheHierarchy uniqueName="[Calender].[Date (Month)]" caption="Date (Month)" attribute="1" defaultMemberUniqueName="[Calender].[Date (Month)].[All]" allUniqueName="[Calender].[Date (Month)].[All]" dimensionUniqueName="[Calender]" displayFolder="" count="0" memberValueDatatype="130" unbalanced="0"/>
    <cacheHierarchy uniqueName="[Calender].[Date (Day)]" caption="Date (Day)" attribute="1" defaultMemberUniqueName="[Calender].[Date (Day)].[All]" allUniqueName="[Calender].[Date (Day)].[All]" dimensionUniqueName="[Calender]" displayFolder="" count="0" memberValueDatatype="130" unbalanced="0"/>
    <cacheHierarchy uniqueName="[tblExpenses].[Date]" caption="Date" attribute="1" time="1" defaultMemberUniqueName="[tblExpenses].[Date].[All]" allUniqueName="[tblExpenses].[Date].[All]" dimensionUniqueName="[tblExpenses]" displayFolder="" count="0" memberValueDatatype="7" unbalanced="0"/>
    <cacheHierarchy uniqueName="[tblExpenses].[OutletID]" caption="OutletID" attribute="1" defaultMemberUniqueName="[tblExpenses].[OutletID].[All]" allUniqueName="[tblExpenses].[OutletID].[All]" dimensionUniqueName="[tblExpenses]" displayFolder="" count="0" memberValueDatatype="130" unbalanced="0"/>
    <cacheHierarchy uniqueName="[tblExpenses].[Category]" caption="Category" attribute="1" defaultMemberUniqueName="[tblExpenses].[Category].[All]" allUniqueName="[tblExpenses].[Category].[All]" dimensionUniqueName="[tblExpenses]" displayFolder="" count="0" memberValueDatatype="130" unbalanced="0"/>
    <cacheHierarchy uniqueName="[tblExpenses].[Amount]" caption="Amount" attribute="1" defaultMemberUniqueName="[tblExpenses].[Amount].[All]" allUniqueName="[tblExpenses].[Amount].[All]" dimensionUniqueName="[tblExpenses]" displayFolder="" count="0" memberValueDatatype="20" unbalanced="0"/>
    <cacheHierarchy uniqueName="[tblExpenses].[Notes]" caption="Notes" attribute="1" defaultMemberUniqueName="[tblExpenses].[Notes].[All]" allUniqueName="[tblExpenses].[Notes].[All]" dimensionUniqueName="[tblExpenses]" displayFolder="" count="0" memberValueDatatype="130" unbalanced="0"/>
    <cacheHierarchy uniqueName="[tblInventory].[Date]" caption="Date" attribute="1" time="1" defaultMemberUniqueName="[tblInventory].[Date].[All]" allUniqueName="[tblInventory].[Date].[All]" dimensionUniqueName="[tblInventory]" displayFolder="" count="0" memberValueDatatype="7" unbalanced="0"/>
    <cacheHierarchy uniqueName="[tblInventory].[OutletID]" caption="OutletID" attribute="1" defaultMemberUniqueName="[tblInventory].[OutletID].[All]" allUniqueName="[tblInventory].[OutletID].[All]" dimensionUniqueName="[tblInventory]" displayFolder="" count="0" memberValueDatatype="130" unbalanced="0"/>
    <cacheHierarchy uniqueName="[tblInventory].[ProductID]" caption="ProductID" attribute="1" defaultMemberUniqueName="[tblInventory].[ProductID].[All]" allUniqueName="[tblInventory].[ProductID].[All]" dimensionUniqueName="[tblInventory]" displayFolder="" count="0" memberValueDatatype="130" unbalanced="0"/>
    <cacheHierarchy uniqueName="[tblInventory].[ProductName]" caption="ProductName" attribute="1" defaultMemberUniqueName="[tblInventory].[ProductName].[All]" allUniqueName="[tblInventory].[ProductName].[All]" dimensionUniqueName="[tblInventory]" displayFolder="" count="0" memberValueDatatype="130" unbalanced="0"/>
    <cacheHierarchy uniqueName="[tblInventory].[StockIn]" caption="StockIn" attribute="1" defaultMemberUniqueName="[tblInventory].[StockIn].[All]" allUniqueName="[tblInventory].[StockIn].[All]" dimensionUniqueName="[tblInventory]" displayFolder="" count="0" memberValueDatatype="20" unbalanced="0"/>
    <cacheHierarchy uniqueName="[tblInventory].[StockOut]" caption="StockOut" attribute="1" defaultMemberUniqueName="[tblInventory].[StockOut].[All]" allUniqueName="[tblInventory].[StockOut].[All]" dimensionUniqueName="[tblInventory]" displayFolder="" count="0" memberValueDatatype="20" unbalanced="0"/>
    <cacheHierarchy uniqueName="[tblInventory].[StockBalance]" caption="StockBalance" attribute="1" defaultMemberUniqueName="[tblInventory].[StockBalance].[All]" allUniqueName="[tblInventory].[StockBalance].[All]" dimensionUniqueName="[tblInventory]" displayFolder="" count="0" memberValueDatatype="20" unbalanced="0"/>
    <cacheHierarchy uniqueName="[tblInventory].[ReorderLevel]" caption="ReorderLevel" attribute="1" defaultMemberUniqueName="[tblInventory].[ReorderLevel].[All]" allUniqueName="[tblInventory].[ReorderLevel].[All]" dimensionUniqueName="[tblInventory]" displayFolder="" count="0" memberValueDatatype="20" unbalanced="0"/>
    <cacheHierarchy uniqueName="[tblInventory].[Stock Status]" caption="Stock Status" attribute="1" defaultMemberUniqueName="[tblInventory].[Stock Status].[All]" allUniqueName="[tblInventory].[Stock Status].[All]" dimensionUniqueName="[tblInventory]" displayFolder="" count="0" memberValueDatatype="130" unbalanced="0"/>
    <cacheHierarchy uniqueName="[tblSales].[Date]" caption="Date" attribute="1" time="1" defaultMemberUniqueName="[tblSales].[Date].[All]" allUniqueName="[tblSales].[Date].[All]" dimensionUniqueName="[tblSales]" displayFolder="" count="0" memberValueDatatype="7" unbalanced="0"/>
    <cacheHierarchy uniqueName="[tblSales].[InvoiceID]" caption="InvoiceID" attribute="1" defaultMemberUniqueName="[tblSales].[InvoiceID].[All]" allUniqueName="[tblSales].[InvoiceID].[All]" dimensionUniqueName="[tblSales]" displayFolder="" count="0" memberValueDatatype="130" unbalanced="0"/>
    <cacheHierarchy uniqueName="[tblSales].[ProductID]" caption="ProductID" attribute="1" defaultMemberUniqueName="[tblSales].[ProductID].[All]" allUniqueName="[tblSales].[ProductID].[All]" dimensionUniqueName="[tblSales]" displayFolder="" count="0" memberValueDatatype="130" unbalanced="0"/>
    <cacheHierarchy uniqueName="[tblSales].[ProductName]" caption="ProductName" attribute="1" defaultMemberUniqueName="[tblSales].[ProductName].[All]" allUniqueName="[tblSales].[ProductName].[All]" dimensionUniqueName="[tblSales]" displayFolder="" count="2" memberValueDatatype="130" unbalanced="0"/>
    <cacheHierarchy uniqueName="[tblSales].[QtySold]" caption="QtySold" attribute="1" defaultMemberUniqueName="[tblSales].[QtySold].[All]" allUniqueName="[tblSales].[QtySold].[All]" dimensionUniqueName="[tblSales]" displayFolder="" count="0" memberValueDatatype="20" unbalanced="0"/>
    <cacheHierarchy uniqueName="[tblSales].[UnitPrice]" caption="UnitPrice" attribute="1" defaultMemberUniqueName="[tblSales].[UnitPrice].[All]" allUniqueName="[tblSales].[UnitPrice].[All]" dimensionUniqueName="[tblSales]" displayFolder="" count="0" memberValueDatatype="20" unbalanced="0"/>
    <cacheHierarchy uniqueName="[tblSales].[CostPerProduct]" caption="CostPerProduct" attribute="1" defaultMemberUniqueName="[tblSales].[CostPerProduct].[All]" allUniqueName="[tblSales].[CostPerProduct].[All]" dimensionUniqueName="[tblSales]" displayFolder="" count="0" memberValueDatatype="20" unbalanced="0"/>
    <cacheHierarchy uniqueName="[tblSales].[Sales]" caption="Sales" attribute="1" defaultMemberUniqueName="[tblSales].[Sales].[All]" allUniqueName="[tblSales].[Sales].[All]" dimensionUniqueName="[tblSales]" displayFolder="" count="0" memberValueDatatype="20" unbalanced="0"/>
    <cacheHierarchy uniqueName="[tblSales].[Cost]" caption="Cost" attribute="1" defaultMemberUniqueName="[tblSales].[Cost].[All]" allUniqueName="[tblSales].[Cost].[All]" dimensionUniqueName="[tblSales]" displayFolder="" count="0" memberValueDatatype="20" unbalanced="0"/>
    <cacheHierarchy uniqueName="[tblSales].[Profit]" caption="Profit" attribute="1" defaultMemberUniqueName="[tblSales].[Profit].[All]" allUniqueName="[tblSales].[Profit].[All]" dimensionUniqueName="[tblSales]" displayFolder="" count="0" memberValueDatatype="20" unbalanced="0"/>
    <cacheHierarchy uniqueName="[tblSales].[Customer]" caption="Customer" attribute="1" defaultMemberUniqueName="[tblSales].[Customer].[All]" allUniqueName="[tblSales].[Customer].[All]" dimensionUniqueName="[tblSales]" displayFolder="" count="0" memberValueDatatype="130" unbalanced="0"/>
    <cacheHierarchy uniqueName="[tblSales].[PaymentMethod]" caption="PaymentMethod" attribute="1" defaultMemberUniqueName="[tblSales].[PaymentMethod].[All]" allUniqueName="[tblSales].[PaymentMethod].[All]" dimensionUniqueName="[tblSales]" displayFolder="" count="0" memberValueDatatype="130" unbalanced="0"/>
    <cacheHierarchy uniqueName="[Calender].[Date (Day Index)]" caption="Date (Day Index)" attribute="1" defaultMemberUniqueName="[Calender].[Date (Day Index)].[All]" allUniqueName="[Calender].[Date (Day Index)].[All]" dimensionUniqueName="[Calender]" displayFolder="" count="0" memberValueDatatype="5" unbalanced="0" hidden="1"/>
    <cacheHierarchy uniqueName="[Calender].[Date (Month Index)]" caption="Date (Month Index)" attribute="1" defaultMemberUniqueName="[Calender].[Date (Month Index)].[All]" allUniqueName="[Calender].[Date (Month Index)].[All]" dimensionUniqueName="[Calender]" displayFolder="" count="0" memberValueDatatype="20" unbalanced="0" hidden="1"/>
    <cacheHierarchy uniqueName="[Measures].[__XL_Count tblSales]" caption="__XL_Count tblSales" measure="1" displayFolder="" measureGroup="tblSales" count="0" hidden="1"/>
    <cacheHierarchy uniqueName="[Measures].[__XL_Count tblExpenses]" caption="__XL_Count tblExpenses" measure="1" displayFolder="" measureGroup="tblExpenses" count="0" hidden="1"/>
    <cacheHierarchy uniqueName="[Measures].[__XL_Count tblInventory]" caption="__XL_Count tblInventory" measure="1" displayFolder="" measureGroup="tblInventory" count="0" hidden="1"/>
    <cacheHierarchy uniqueName="[Measures].[__XL_Count Calender]" caption="__XL_Count Calender" measure="1" displayFolder="" measureGroup="Calender" count="0" hidden="1"/>
    <cacheHierarchy uniqueName="[Measures].[__No measures defined]" caption="__No measures defined" measure="1" displayFolder="" count="0" hidden="1"/>
    <cacheHierarchy uniqueName="[Measures].[Sum of Sales]" caption="Sum of Sales" measure="1" displayFolder="" measureGroup="tblSales" count="0" hidden="1">
      <extLst>
        <ext xmlns:x15="http://schemas.microsoft.com/office/spreadsheetml/2010/11/main" uri="{B97F6D7D-B522-45F9-BDA1-12C45D357490}">
          <x15:cacheHierarchy aggregatedColumn="30"/>
        </ext>
      </extLst>
    </cacheHierarchy>
    <cacheHierarchy uniqueName="[Measures].[Sum of Amount]" caption="Sum of Amount" measure="1" displayFolder="" measureGroup="tblExpenses" count="0" hidden="1">
      <extLst>
        <ext xmlns:x15="http://schemas.microsoft.com/office/spreadsheetml/2010/11/main" uri="{B97F6D7D-B522-45F9-BDA1-12C45D357490}">
          <x15:cacheHierarchy aggregatedColumn="12"/>
        </ext>
      </extLst>
    </cacheHierarchy>
    <cacheHierarchy uniqueName="[Measures].[Sum of Profit]" caption="Sum of Profit" measure="1" displayFolder="" measureGroup="tblSales" count="0" hidden="1">
      <extLst>
        <ext xmlns:x15="http://schemas.microsoft.com/office/spreadsheetml/2010/11/main" uri="{B97F6D7D-B522-45F9-BDA1-12C45D357490}">
          <x15:cacheHierarchy aggregatedColumn="32"/>
        </ext>
      </extLst>
    </cacheHierarchy>
    <cacheHierarchy uniqueName="[Measures].[Sum of StockBalance]" caption="Sum of StockBalance" measure="1" displayFolder="" measureGroup="tblInventory" count="0" hidden="1">
      <extLst>
        <ext xmlns:x15="http://schemas.microsoft.com/office/spreadsheetml/2010/11/main" uri="{B97F6D7D-B522-45F9-BDA1-12C45D357490}">
          <x15:cacheHierarchy aggregatedColumn="20"/>
        </ext>
      </extLst>
    </cacheHierarchy>
    <cacheHierarchy uniqueName="[Measures].[Sum of ReorderLevel]" caption="Sum of ReorderLevel" measure="1" displayFolder="" measureGroup="tblInventory" count="0" hidden="1">
      <extLst>
        <ext xmlns:x15="http://schemas.microsoft.com/office/spreadsheetml/2010/11/main" uri="{B97F6D7D-B522-45F9-BDA1-12C45D357490}">
          <x15:cacheHierarchy aggregatedColumn="21"/>
        </ext>
      </extLst>
    </cacheHierarchy>
    <cacheHierarchy uniqueName="[Measures].[Count of StockBalance]" caption="Count of StockBalance" measure="1" displayFolder="" measureGroup="tblInventory" count="0" hidden="1">
      <extLst>
        <ext xmlns:x15="http://schemas.microsoft.com/office/spreadsheetml/2010/11/main" uri="{B97F6D7D-B522-45F9-BDA1-12C45D357490}">
          <x15:cacheHierarchy aggregatedColumn="20"/>
        </ext>
      </extLst>
    </cacheHierarchy>
    <cacheHierarchy uniqueName="[Measures].[Max of StockBalance]" caption="Max of StockBalance" measure="1" displayFolder="" measureGroup="tblInventory" count="0" hidden="1">
      <extLst>
        <ext xmlns:x15="http://schemas.microsoft.com/office/spreadsheetml/2010/11/main" uri="{B97F6D7D-B522-45F9-BDA1-12C45D357490}">
          <x15:cacheHierarchy aggregatedColumn="20"/>
        </ext>
      </extLst>
    </cacheHierarchy>
    <cacheHierarchy uniqueName="[Measures].[Max of ReorderLevel]" caption="Max of ReorderLevel" measure="1" displayFolder="" measureGroup="tblInventory" count="0" hidden="1">
      <extLst>
        <ext xmlns:x15="http://schemas.microsoft.com/office/spreadsheetml/2010/11/main" uri="{B97F6D7D-B522-45F9-BDA1-12C45D357490}">
          <x15:cacheHierarchy aggregatedColumn="21"/>
        </ext>
      </extLst>
    </cacheHierarchy>
  </cacheHierarchies>
  <kpis count="0"/>
  <extLst>
    <ext xmlns:x14="http://schemas.microsoft.com/office/spreadsheetml/2009/9/main" uri="{725AE2AE-9491-48be-B2B4-4EB974FC3084}">
      <x14:pivotCacheDefinition slicerData="1" pivotCacheId="186559929" supportSubqueryNonVisual="1" supportSubqueryCalcMem="1" supportAddCalcMems="1"/>
    </ext>
  </extLst>
</pivotCacheDefinition>
</file>

<file path=xl/pivotTables/_rels/pivotTable1.xml.rels><?xml version="1.0" encoding="UTF-8" standalone="yes"?>
<Relationships xmlns="http://schemas.openxmlformats.org/package/2006/relationships"><Relationship Id="rId1" Type="http://schemas.openxmlformats.org/officeDocument/2006/relationships/pivotCacheDefinition" Target="../pivotCache/pivotCacheDefinition9.xml"/></Relationships>
</file>

<file path=xl/pivotTables/_rels/pivotTable2.xml.rels><?xml version="1.0" encoding="UTF-8" standalone="yes"?>
<Relationships xmlns="http://schemas.openxmlformats.org/package/2006/relationships"><Relationship Id="rId1" Type="http://schemas.openxmlformats.org/officeDocument/2006/relationships/pivotCacheDefinition" Target="../pivotCache/pivotCacheDefinition2.xml"/></Relationships>
</file>

<file path=xl/pivotTables/_rels/pivotTable3.xml.rels><?xml version="1.0" encoding="UTF-8" standalone="yes"?>
<Relationships xmlns="http://schemas.openxmlformats.org/package/2006/relationships"><Relationship Id="rId1" Type="http://schemas.openxmlformats.org/officeDocument/2006/relationships/pivotCacheDefinition" Target="../pivotCache/pivotCacheDefinition8.xml"/></Relationships>
</file>

<file path=xl/pivotTables/_rels/pivotTable4.xml.rels><?xml version="1.0" encoding="UTF-8" standalone="yes"?>
<Relationships xmlns="http://schemas.openxmlformats.org/package/2006/relationships"><Relationship Id="rId1" Type="http://schemas.openxmlformats.org/officeDocument/2006/relationships/pivotCacheDefinition" Target="../pivotCache/pivotCacheDefinition7.xml"/></Relationships>
</file>

<file path=xl/pivotTables/_rels/pivotTable5.xml.rels><?xml version="1.0" encoding="UTF-8" standalone="yes"?>
<Relationships xmlns="http://schemas.openxmlformats.org/package/2006/relationships"><Relationship Id="rId1" Type="http://schemas.openxmlformats.org/officeDocument/2006/relationships/pivotCacheDefinition" Target="../pivotCache/pivotCacheDefinition6.xml"/></Relationships>
</file>

<file path=xl/pivotTables/_rels/pivotTable6.xml.rels><?xml version="1.0" encoding="UTF-8" standalone="yes"?>
<Relationships xmlns="http://schemas.openxmlformats.org/package/2006/relationships"><Relationship Id="rId1" Type="http://schemas.openxmlformats.org/officeDocument/2006/relationships/pivotCacheDefinition" Target="../pivotCache/pivotCacheDefinition5.xml"/></Relationships>
</file>

<file path=xl/pivotTables/_rels/pivotTable7.xml.rels><?xml version="1.0" encoding="UTF-8" standalone="yes"?>
<Relationships xmlns="http://schemas.openxmlformats.org/package/2006/relationships"><Relationship Id="rId1" Type="http://schemas.openxmlformats.org/officeDocument/2006/relationships/pivotCacheDefinition" Target="../pivotCache/pivotCacheDefinition4.xml"/></Relationships>
</file>

<file path=xl/pivotTables/_rels/pivotTable8.xml.rels><?xml version="1.0" encoding="UTF-8" standalone="yes"?>
<Relationships xmlns="http://schemas.openxmlformats.org/package/2006/relationships"><Relationship Id="rId1" Type="http://schemas.openxmlformats.org/officeDocument/2006/relationships/pivotCacheDefinition" Target="../pivotCache/pivotCacheDefinition3.xml"/></Relationships>
</file>

<file path=xl/pivotTables/_rels/pivotTable9.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pivotTable1.xml><?xml version="1.0" encoding="utf-8"?>
<pivotTableDefinition xmlns="http://schemas.openxmlformats.org/spreadsheetml/2006/main" xmlns:mc="http://schemas.openxmlformats.org/markup-compatibility/2006" xmlns:xr="http://schemas.microsoft.com/office/spreadsheetml/2014/revision" mc:Ignorable="xr" xr:uid="{A997E583-8F42-4FAB-BCC7-2DDD12EF8B4F}" name="PivotTable1" cacheId="646" applyNumberFormats="0" applyBorderFormats="0" applyFontFormats="0" applyPatternFormats="0" applyAlignmentFormats="0" applyWidthHeightFormats="1" dataCaption="Values" updatedVersion="8" minRefreshableVersion="3" useAutoFormatting="1" subtotalHiddenItems="1" itemPrintTitles="1" createdVersion="8" indent="0" outline="1" outlineData="1" multipleFieldFilters="0" chartFormat="4">
  <location ref="V5:X8" firstHeaderRow="0" firstDataRow="1" firstDataCol="1" rowPageCount="1" colPageCount="1"/>
  <pivotFields count="5">
    <pivotField axis="axisRow" allDrilled="1" subtotalTop="0" showAll="0" dataSourceSort="1" defaultSubtotal="0" defaultAttributeDrillState="1">
      <items count="2">
        <item x="0"/>
        <item x="1"/>
      </items>
    </pivotField>
    <pivotField dataField="1" subtotalTop="0" showAll="0" defaultSubtotal="0"/>
    <pivotField dataField="1" subtotalTop="0" showAll="0" defaultSubtotal="0"/>
    <pivotField axis="axisPage" allDrilled="1" subtotalTop="0" showAll="0" dataSourceSort="1" defaultSubtotal="0" defaultAttributeDrillState="1"/>
    <pivotField allDrilled="1" subtotalTop="0" showAll="0" dataSourceSort="1" defaultSubtotal="0" defaultAttributeDrillState="1"/>
  </pivotFields>
  <rowFields count="1">
    <field x="0"/>
  </rowFields>
  <rowItems count="3">
    <i>
      <x/>
    </i>
    <i>
      <x v="1"/>
    </i>
    <i t="grand">
      <x/>
    </i>
  </rowItems>
  <colFields count="1">
    <field x="-2"/>
  </colFields>
  <colItems count="2">
    <i>
      <x/>
    </i>
    <i i="1">
      <x v="1"/>
    </i>
  </colItems>
  <pageFields count="1">
    <pageField fld="3" hier="22" name="[tblInventory].[Stock Status].&amp;[Low Stock]" cap="Low Stock"/>
  </pageFields>
  <dataFields count="2">
    <dataField name="Max of StockBalance" fld="1" subtotal="max" baseField="0" baseItem="0"/>
    <dataField name="Max of ReorderLevel" fld="2" subtotal="max" baseField="0" baseItem="0"/>
  </dataFields>
  <chartFormats count="2">
    <chartFormat chart="3" format="2" series="1">
      <pivotArea type="data" outline="0" fieldPosition="0">
        <references count="1">
          <reference field="4294967294" count="1" selected="0">
            <x v="0"/>
          </reference>
        </references>
      </pivotArea>
    </chartFormat>
    <chartFormat chart="3" format="3" series="1">
      <pivotArea type="data" outline="0" fieldPosition="0">
        <references count="1">
          <reference field="4294967294" count="1" selected="0">
            <x v="1"/>
          </reference>
        </references>
      </pivotArea>
    </chartFormat>
  </chartFormats>
  <pivotHierarchies count="50">
    <pivotHierarchy multipleItemSelectionAllowed="1"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multipleItemSelectionAllowed="1" dragToData="1">
      <members count="1" level="1">
        <member name="[tblInventory].[Stock Status].&amp;[Low Stock]"/>
      </members>
    </pivotHierarchy>
    <pivotHierarchy dragToData="1"/>
    <pivotHierarchy dragToData="1"/>
    <pivotHierarchy dragToData="1"/>
    <pivotHierarchy multipleItemSelectionAllowed="1"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Data="1"/>
    <pivotHierarchy dragToData="1"/>
    <pivotHierarchy dragToData="1"/>
    <pivotHierarchy dragToData="1"/>
    <pivotHierarchy dragToData="1"/>
    <pivotHierarchy dragToData="1"/>
    <pivotHierarchy dragToData="1" caption="Max of StockBalance"/>
    <pivotHierarchy dragToData="1" caption="Max of ReorderLevel"/>
  </pivotHierarchies>
  <pivotTableStyleInfo name="PivotStyleLight16" showRowHeaders="1" showColHeaders="1" showRowStripes="0" showColStripes="0" showLastColumn="1"/>
  <rowHierarchiesUsage count="1">
    <rowHierarchyUsage hierarchyUsage="17"/>
  </rowHierarchiesUsage>
  <colHierarchiesUsage count="1">
    <colHierarchyUsage hierarchyUsage="-2"/>
  </col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Calender]"/>
        <x15:activeTabTopLevelEntity name="[tblInventory]"/>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2.xml><?xml version="1.0" encoding="utf-8"?>
<pivotTableDefinition xmlns="http://schemas.openxmlformats.org/spreadsheetml/2006/main" xmlns:mc="http://schemas.openxmlformats.org/markup-compatibility/2006" xmlns:xr="http://schemas.microsoft.com/office/spreadsheetml/2014/revision" mc:Ignorable="xr" xr:uid="{A9F6443B-2C3D-4AA3-9322-E0B29C4FAE24}" name="PivotTable13" cacheId="583"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location ref="G2:I7" firstHeaderRow="0" firstDataRow="1" firstDataCol="1"/>
  <pivotFields count="3">
    <pivotField axis="axisRow" allDrilled="1" subtotalTop="0" showAll="0" dataSourceSort="1" defaultSubtotal="0" defaultAttributeDrillState="1">
      <items count="4">
        <item x="0"/>
        <item x="1"/>
        <item x="2"/>
        <item x="3"/>
      </items>
    </pivotField>
    <pivotField dataField="1" subtotalTop="0" showAll="0" defaultSubtotal="0"/>
    <pivotField dataField="1" subtotalTop="0" showAll="0" defaultSubtotal="0"/>
  </pivotFields>
  <rowFields count="1">
    <field x="0"/>
  </rowFields>
  <rowItems count="5">
    <i>
      <x/>
    </i>
    <i>
      <x v="1"/>
    </i>
    <i>
      <x v="2"/>
    </i>
    <i>
      <x v="3"/>
    </i>
    <i t="grand">
      <x/>
    </i>
  </rowItems>
  <colFields count="1">
    <field x="-2"/>
  </colFields>
  <colItems count="2">
    <i>
      <x/>
    </i>
    <i i="1">
      <x v="1"/>
    </i>
  </colItems>
  <dataFields count="2">
    <dataField name="Sum of StockBalance" fld="1" baseField="0" baseItem="0"/>
    <dataField name="Sum of ReorderLevel" fld="2" baseField="0" baseItem="0"/>
  </dataFields>
  <pivotHierarchies count="50">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Data="1"/>
    <pivotHierarchy dragToData="1"/>
    <pivotHierarchy dragToData="1"/>
    <pivotHierarchy dragToData="1"/>
    <pivotHierarchy dragToData="1"/>
    <pivotHierarchy dragToData="1"/>
    <pivotHierarchy dragToData="1"/>
    <pivotHierarchy dragToData="1"/>
  </pivotHierarchies>
  <pivotTableStyleInfo name="PivotStyleLight16" showRowHeaders="1" showColHeaders="1" showRowStripes="0" showColStripes="0" showLastColumn="1"/>
  <rowHierarchiesUsage count="1">
    <rowHierarchyUsage hierarchyUsage="17"/>
  </rowHierarchiesUsage>
  <colHierarchiesUsage count="1">
    <colHierarchyUsage hierarchyUsage="-2"/>
  </col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Calender]"/>
        <x15:activeTabTopLevelEntity name="[tblInventory]"/>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3.xml><?xml version="1.0" encoding="utf-8"?>
<pivotTableDefinition xmlns="http://schemas.openxmlformats.org/spreadsheetml/2006/main" xmlns:mc="http://schemas.openxmlformats.org/markup-compatibility/2006" xmlns:xr="http://schemas.microsoft.com/office/spreadsheetml/2014/revision" mc:Ignorable="xr" xr:uid="{0A74DE3E-C11F-4D2A-AC54-421DADC94540}" name="PivotTable9" cacheId="643" applyNumberFormats="0" applyBorderFormats="0" applyFontFormats="0" applyPatternFormats="0" applyAlignmentFormats="0" applyWidthHeightFormats="1" dataCaption="Values" updatedVersion="8" minRefreshableVersion="3" useAutoFormatting="1" subtotalHiddenItems="1" itemPrintTitles="1" createdVersion="8" indent="0" outline="1" outlineData="1" multipleFieldFilters="0" chartFormat="23">
  <location ref="E11:F21" firstHeaderRow="1" firstDataRow="1" firstDataCol="1"/>
  <pivotFields count="2">
    <pivotField axis="axisRow" allDrilled="1" subtotalTop="0" showAll="0" dataSourceSort="1" defaultSubtotal="0" defaultAttributeDrillState="1">
      <items count="9">
        <item x="0"/>
        <item x="1"/>
        <item x="2"/>
        <item x="3"/>
        <item x="4"/>
        <item x="5"/>
        <item x="6"/>
        <item x="7"/>
        <item x="8"/>
      </items>
    </pivotField>
    <pivotField dataField="1" subtotalTop="0" showAll="0" defaultSubtotal="0"/>
  </pivotFields>
  <rowFields count="1">
    <field x="0"/>
  </rowFields>
  <rowItems count="10">
    <i>
      <x/>
    </i>
    <i>
      <x v="1"/>
    </i>
    <i>
      <x v="2"/>
    </i>
    <i>
      <x v="3"/>
    </i>
    <i>
      <x v="4"/>
    </i>
    <i>
      <x v="5"/>
    </i>
    <i>
      <x v="6"/>
    </i>
    <i>
      <x v="7"/>
    </i>
    <i>
      <x v="8"/>
    </i>
    <i t="grand">
      <x/>
    </i>
  </rowItems>
  <colItems count="1">
    <i/>
  </colItems>
  <dataFields count="1">
    <dataField name="Sum of Sales" fld="1" baseField="0" baseItem="0" numFmtId="167"/>
  </dataFields>
  <formats count="2">
    <format dxfId="16">
      <pivotArea outline="0" collapsedLevelsAreSubtotals="1" fieldPosition="0"/>
    </format>
    <format dxfId="17">
      <pivotArea dataOnly="0" labelOnly="1" outline="0" axis="axisValues" fieldPosition="0"/>
    </format>
  </formats>
  <chartFormats count="1">
    <chartFormat chart="6" format="10" series="1">
      <pivotArea type="data" outline="0" fieldPosition="0">
        <references count="1">
          <reference field="4294967294" count="1" selected="0">
            <x v="0"/>
          </reference>
        </references>
      </pivotArea>
    </chartFormat>
  </chartFormats>
  <pivotHierarchies count="50">
    <pivotHierarchy multipleItemSelectionAllowed="1"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multipleItemSelectionAllowed="1"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Data="1"/>
    <pivotHierarchy dragToData="1"/>
    <pivotHierarchy dragToData="1"/>
    <pivotHierarchy dragToData="1"/>
    <pivotHierarchy dragToData="1"/>
    <pivotHierarchy dragToData="1"/>
    <pivotHierarchy dragToData="1"/>
    <pivotHierarchy dragToData="1"/>
  </pivotHierarchies>
  <pivotTableStyleInfo name="PivotStyleLight16" showRowHeaders="1" showColHeaders="1" showRowStripes="0" showColStripes="0" showLastColumn="1"/>
  <rowHierarchiesUsage count="1">
    <rowHierarchyUsage hierarchyUsage="0"/>
  </row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Calender]"/>
        <x15:activeTabTopLevelEntity name="[tblSales]"/>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4.xml><?xml version="1.0" encoding="utf-8"?>
<pivotTableDefinition xmlns="http://schemas.openxmlformats.org/spreadsheetml/2006/main" xmlns:mc="http://schemas.openxmlformats.org/markup-compatibility/2006" xmlns:xr="http://schemas.microsoft.com/office/spreadsheetml/2014/revision" mc:Ignorable="xr" xr:uid="{DBFA9703-1329-43A1-A31C-A501C25CEAE5}" name="PivotTable6" cacheId="640" applyNumberFormats="0" applyBorderFormats="0" applyFontFormats="0" applyPatternFormats="0" applyAlignmentFormats="0" applyWidthHeightFormats="1" dataCaption="Values" updatedVersion="8" minRefreshableVersion="3" useAutoFormatting="1" subtotalHiddenItems="1" itemPrintTitles="1" createdVersion="8" indent="0" outline="1" outlineData="1" multipleFieldFilters="0">
  <location ref="E8:E9" firstHeaderRow="1" firstDataRow="1" firstDataCol="0"/>
  <pivotFields count="3">
    <pivotField dataField="1" subtotalTop="0" showAll="0" defaultSubtotal="0"/>
    <pivotField allDrilled="1" subtotalTop="0" showAll="0" dataSourceSort="1" defaultSubtotal="0" defaultAttributeDrillState="1"/>
    <pivotField allDrilled="1" subtotalTop="0" showAll="0" dataSourceSort="1" defaultSubtotal="0" defaultAttributeDrillState="1"/>
  </pivotFields>
  <rowItems count="1">
    <i/>
  </rowItems>
  <colItems count="1">
    <i/>
  </colItems>
  <dataFields count="1">
    <dataField name="Sum of Profit" fld="0" baseField="0" baseItem="0"/>
  </dataFields>
  <pivotHierarchies count="50">
    <pivotHierarchy multipleItemSelectionAllowed="1"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multipleItemSelectionAllowed="1" dragToData="1">
      <members count="1" level="1">
        <member name="[tblInventory].[ProductName].&amp;[Bottle Water]"/>
      </members>
    </pivotHierarchy>
    <pivotHierarchy dragToData="1"/>
    <pivotHierarchy dragToData="1"/>
    <pivotHierarchy dragToData="1"/>
    <pivotHierarchy dragToData="1"/>
    <pivotHierarchy dragToData="1"/>
    <pivotHierarchy dragToData="1"/>
    <pivotHierarchy dragToData="1"/>
    <pivotHierarchy dragToData="1"/>
    <pivotHierarchy multipleItemSelectionAllowed="1"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Data="1"/>
    <pivotHierarchy dragToData="1"/>
    <pivotHierarchy dragToData="1"/>
    <pivotHierarchy dragToData="1"/>
    <pivotHierarchy dragToData="1"/>
    <pivotHierarchy dragToData="1"/>
    <pivotHierarchy dragToData="1"/>
    <pivotHierarchy dragToData="1"/>
  </pivotHierarchie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Calender]"/>
        <x15:activeTabTopLevelEntity name="[tblSales]"/>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5.xml><?xml version="1.0" encoding="utf-8"?>
<pivotTableDefinition xmlns="http://schemas.openxmlformats.org/spreadsheetml/2006/main" xmlns:mc="http://schemas.openxmlformats.org/markup-compatibility/2006" xmlns:xr="http://schemas.microsoft.com/office/spreadsheetml/2014/revision" mc:Ignorable="xr" xr:uid="{FAD31A50-3245-4DE7-B915-AC2F5DB60213}" name="PivotTable5" cacheId="637" applyNumberFormats="0" applyBorderFormats="0" applyFontFormats="0" applyPatternFormats="0" applyAlignmentFormats="0" applyWidthHeightFormats="1" dataCaption="Values" updatedVersion="8" minRefreshableVersion="3" useAutoFormatting="1" subtotalHiddenItems="1" itemPrintTitles="1" createdVersion="8" indent="0" outline="1" outlineData="1" multipleFieldFilters="0">
  <location ref="C8:C9" firstHeaderRow="1" firstDataRow="1" firstDataCol="0"/>
  <pivotFields count="3">
    <pivotField dataField="1" subtotalTop="0" showAll="0" defaultSubtotal="0"/>
    <pivotField allDrilled="1" subtotalTop="0" showAll="0" dataSourceSort="1" defaultSubtotal="0" defaultAttributeDrillState="1"/>
    <pivotField allDrilled="1" subtotalTop="0" showAll="0" dataSourceSort="1" defaultSubtotal="0" defaultAttributeDrillState="1"/>
  </pivotFields>
  <rowItems count="1">
    <i/>
  </rowItems>
  <colItems count="1">
    <i/>
  </colItems>
  <dataFields count="1">
    <dataField name="Sum of Amount" fld="0" baseField="0" baseItem="0"/>
  </dataFields>
  <pivotHierarchies count="50">
    <pivotHierarchy multipleItemSelectionAllowed="1"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multipleItemSelectionAllowed="1" dragToData="1">
      <members count="1" level="1">
        <member name="[tblInventory].[ProductName].&amp;[Bottle Water]"/>
      </members>
    </pivotHierarchy>
    <pivotHierarchy dragToData="1"/>
    <pivotHierarchy dragToData="1"/>
    <pivotHierarchy dragToData="1"/>
    <pivotHierarchy dragToData="1"/>
    <pivotHierarchy dragToData="1"/>
    <pivotHierarchy dragToData="1"/>
    <pivotHierarchy dragToData="1"/>
    <pivotHierarchy dragToData="1"/>
    <pivotHierarchy multipleItemSelectionAllowed="1"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Data="1"/>
    <pivotHierarchy dragToData="1"/>
    <pivotHierarchy dragToData="1"/>
    <pivotHierarchy dragToData="1"/>
    <pivotHierarchy dragToData="1"/>
    <pivotHierarchy dragToData="1"/>
    <pivotHierarchy dragToData="1"/>
    <pivotHierarchy dragToData="1"/>
  </pivotHierarchie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Calender]"/>
        <x15:activeTabTopLevelEntity name="[tblExpenses]"/>
        <x15:activeTabTopLevelEntity name="[tblSales]"/>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6.xml><?xml version="1.0" encoding="utf-8"?>
<pivotTableDefinition xmlns="http://schemas.openxmlformats.org/spreadsheetml/2006/main" xmlns:mc="http://schemas.openxmlformats.org/markup-compatibility/2006" xmlns:xr="http://schemas.microsoft.com/office/spreadsheetml/2014/revision" mc:Ignorable="xr" xr:uid="{F3F8C383-3FD3-479A-830D-11F4A6BED07A}" name="PivotTable10" cacheId="634" applyNumberFormats="0" applyBorderFormats="0" applyFontFormats="0" applyPatternFormats="0" applyAlignmentFormats="0" applyWidthHeightFormats="1" dataCaption="Values" updatedVersion="8" minRefreshableVersion="3" useAutoFormatting="1" subtotalHiddenItems="1" itemPrintTitles="1" createdVersion="8" indent="0" outline="1" outlineData="1" multipleFieldFilters="0" chartFormat="5">
  <location ref="A17:B22" firstHeaderRow="1" firstDataRow="1" firstDataCol="1"/>
  <pivotFields count="3">
    <pivotField axis="axisRow" allDrilled="1" subtotalTop="0" showAll="0" sortType="descending" defaultSubtotal="0" defaultAttributeDrillState="1">
      <items count="4">
        <item x="0"/>
        <item x="1"/>
        <item x="2"/>
        <item x="3"/>
      </items>
      <autoSortScope>
        <pivotArea dataOnly="0" outline="0" fieldPosition="0">
          <references count="1">
            <reference field="4294967294" count="1" selected="0">
              <x v="0"/>
            </reference>
          </references>
        </pivotArea>
      </autoSortScope>
    </pivotField>
    <pivotField dataField="1" subtotalTop="0" showAll="0" defaultSubtotal="0"/>
    <pivotField allDrilled="1" subtotalTop="0" showAll="0" dataSourceSort="1" defaultSubtotal="0" defaultAttributeDrillState="1"/>
  </pivotFields>
  <rowFields count="1">
    <field x="0"/>
  </rowFields>
  <rowItems count="5">
    <i>
      <x v="1"/>
    </i>
    <i>
      <x/>
    </i>
    <i>
      <x v="2"/>
    </i>
    <i>
      <x v="3"/>
    </i>
    <i t="grand">
      <x/>
    </i>
  </rowItems>
  <colItems count="1">
    <i/>
  </colItems>
  <dataFields count="1">
    <dataField name="Sum of Profit" fld="1" baseField="0" baseItem="0"/>
  </dataFields>
  <formats count="1">
    <format dxfId="18">
      <pivotArea collapsedLevelsAreSubtotals="1" fieldPosition="0">
        <references count="1">
          <reference field="0" count="0"/>
        </references>
      </pivotArea>
    </format>
  </formats>
  <chartFormats count="1">
    <chartFormat chart="3" format="1" series="1">
      <pivotArea type="data" outline="0" fieldPosition="0">
        <references count="1">
          <reference field="4294967294" count="1" selected="0">
            <x v="0"/>
          </reference>
        </references>
      </pivotArea>
    </chartFormat>
  </chartFormats>
  <pivotHierarchies count="50">
    <pivotHierarchy multipleItemSelectionAllowed="1"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multipleItemSelectionAllowed="1"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Data="1"/>
    <pivotHierarchy dragToData="1"/>
    <pivotHierarchy dragToData="1"/>
    <pivotHierarchy dragToData="1"/>
    <pivotHierarchy dragToData="1"/>
    <pivotHierarchy dragToData="1"/>
    <pivotHierarchy dragToData="1"/>
    <pivotHierarchy dragToData="1"/>
  </pivotHierarchies>
  <pivotTableStyleInfo name="PivotStyleLight16" showRowHeaders="1" showColHeaders="1" showRowStripes="0" showColStripes="0" showLastColumn="1"/>
  <rowHierarchiesUsage count="1">
    <rowHierarchyUsage hierarchyUsage="26"/>
  </row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Calender]"/>
        <x15:activeTabTopLevelEntity name="[tblSales]"/>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7.xml><?xml version="1.0" encoding="utf-8"?>
<pivotTableDefinition xmlns="http://schemas.openxmlformats.org/spreadsheetml/2006/main" xmlns:mc="http://schemas.openxmlformats.org/markup-compatibility/2006" xmlns:xr="http://schemas.microsoft.com/office/spreadsheetml/2014/revision" mc:Ignorable="xr" xr:uid="{D29CF649-CF09-4ED5-BF78-AF37B7FDBAED}" name="PivotTable12" cacheId="631" applyNumberFormats="0" applyBorderFormats="0" applyFontFormats="0" applyPatternFormats="0" applyAlignmentFormats="0" applyWidthHeightFormats="1" dataCaption="Values" updatedVersion="8" minRefreshableVersion="3" useAutoFormatting="1" subtotalHiddenItems="1" itemPrintTitles="1" createdVersion="8" indent="0" outline="1" outlineData="1" multipleFieldFilters="0" chartFormat="6">
  <location ref="P1:Q10" firstHeaderRow="1" firstDataRow="1" firstDataCol="1"/>
  <pivotFields count="3">
    <pivotField axis="axisRow" allDrilled="1" subtotalTop="0" showAll="0" sortType="descending" defaultSubtotal="0" defaultAttributeDrillState="1">
      <items count="8">
        <item x="0"/>
        <item x="1"/>
        <item x="2"/>
        <item x="3"/>
        <item x="4"/>
        <item x="5"/>
        <item x="6"/>
        <item x="7"/>
      </items>
      <autoSortScope>
        <pivotArea dataOnly="0" outline="0" fieldPosition="0">
          <references count="1">
            <reference field="4294967294" count="1" selected="0">
              <x v="0"/>
            </reference>
          </references>
        </pivotArea>
      </autoSortScope>
    </pivotField>
    <pivotField dataField="1" subtotalTop="0" showAll="0" defaultSubtotal="0"/>
    <pivotField allDrilled="1" subtotalTop="0" showAll="0" dataSourceSort="1" defaultSubtotal="0" defaultAttributeDrillState="1"/>
  </pivotFields>
  <rowFields count="1">
    <field x="0"/>
  </rowFields>
  <rowItems count="9">
    <i>
      <x v="4"/>
    </i>
    <i>
      <x v="5"/>
    </i>
    <i>
      <x/>
    </i>
    <i>
      <x v="7"/>
    </i>
    <i>
      <x v="6"/>
    </i>
    <i>
      <x v="1"/>
    </i>
    <i>
      <x v="2"/>
    </i>
    <i>
      <x v="3"/>
    </i>
    <i t="grand">
      <x/>
    </i>
  </rowItems>
  <colItems count="1">
    <i/>
  </colItems>
  <dataFields count="1">
    <dataField name="Sum of Amount" fld="1" showDataAs="percentOfTotal" baseField="0" baseItem="4" numFmtId="10"/>
  </dataFields>
  <chartFormats count="9">
    <chartFormat chart="4" format="1" series="1">
      <pivotArea type="data" outline="0" fieldPosition="0">
        <references count="1">
          <reference field="4294967294" count="1" selected="0">
            <x v="0"/>
          </reference>
        </references>
      </pivotArea>
    </chartFormat>
    <chartFormat chart="4" format="2">
      <pivotArea type="data" outline="0" fieldPosition="0">
        <references count="2">
          <reference field="4294967294" count="1" selected="0">
            <x v="0"/>
          </reference>
          <reference field="0" count="1" selected="0">
            <x v="4"/>
          </reference>
        </references>
      </pivotArea>
    </chartFormat>
    <chartFormat chart="4" format="3">
      <pivotArea type="data" outline="0" fieldPosition="0">
        <references count="2">
          <reference field="4294967294" count="1" selected="0">
            <x v="0"/>
          </reference>
          <reference field="0" count="1" selected="0">
            <x v="5"/>
          </reference>
        </references>
      </pivotArea>
    </chartFormat>
    <chartFormat chart="4" format="4">
      <pivotArea type="data" outline="0" fieldPosition="0">
        <references count="2">
          <reference field="4294967294" count="1" selected="0">
            <x v="0"/>
          </reference>
          <reference field="0" count="1" selected="0">
            <x v="0"/>
          </reference>
        </references>
      </pivotArea>
    </chartFormat>
    <chartFormat chart="4" format="5">
      <pivotArea type="data" outline="0" fieldPosition="0">
        <references count="2">
          <reference field="4294967294" count="1" selected="0">
            <x v="0"/>
          </reference>
          <reference field="0" count="1" selected="0">
            <x v="7"/>
          </reference>
        </references>
      </pivotArea>
    </chartFormat>
    <chartFormat chart="4" format="6">
      <pivotArea type="data" outline="0" fieldPosition="0">
        <references count="2">
          <reference field="4294967294" count="1" selected="0">
            <x v="0"/>
          </reference>
          <reference field="0" count="1" selected="0">
            <x v="6"/>
          </reference>
        </references>
      </pivotArea>
    </chartFormat>
    <chartFormat chart="4" format="7">
      <pivotArea type="data" outline="0" fieldPosition="0">
        <references count="2">
          <reference field="4294967294" count="1" selected="0">
            <x v="0"/>
          </reference>
          <reference field="0" count="1" selected="0">
            <x v="1"/>
          </reference>
        </references>
      </pivotArea>
    </chartFormat>
    <chartFormat chart="4" format="8">
      <pivotArea type="data" outline="0" fieldPosition="0">
        <references count="2">
          <reference field="4294967294" count="1" selected="0">
            <x v="0"/>
          </reference>
          <reference field="0" count="1" selected="0">
            <x v="2"/>
          </reference>
        </references>
      </pivotArea>
    </chartFormat>
    <chartFormat chart="4" format="9">
      <pivotArea type="data" outline="0" fieldPosition="0">
        <references count="2">
          <reference field="4294967294" count="1" selected="0">
            <x v="0"/>
          </reference>
          <reference field="0" count="1" selected="0">
            <x v="3"/>
          </reference>
        </references>
      </pivotArea>
    </chartFormat>
  </chartFormats>
  <pivotHierarchies count="50">
    <pivotHierarchy multipleItemSelectionAllowed="1"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multipleItemSelectionAllowed="1"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Data="1"/>
    <pivotHierarchy dragToData="1"/>
    <pivotHierarchy dragToData="1"/>
    <pivotHierarchy dragToData="1"/>
    <pivotHierarchy dragToData="1"/>
    <pivotHierarchy dragToData="1"/>
    <pivotHierarchy dragToData="1"/>
    <pivotHierarchy dragToData="1"/>
  </pivotHierarchies>
  <pivotTableStyleInfo name="PivotStyleLight16" showRowHeaders="1" showColHeaders="1" showRowStripes="0" showColStripes="0" showLastColumn="1"/>
  <rowHierarchiesUsage count="1">
    <rowHierarchyUsage hierarchyUsage="11"/>
  </row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Calender]"/>
        <x15:activeTabTopLevelEntity name="[tblExpenses]"/>
        <x15:activeTabTopLevelEntity name="[tblSales]"/>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8.xml><?xml version="1.0" encoding="utf-8"?>
<pivotTableDefinition xmlns="http://schemas.openxmlformats.org/spreadsheetml/2006/main" xmlns:mc="http://schemas.openxmlformats.org/markup-compatibility/2006" xmlns:xr="http://schemas.microsoft.com/office/spreadsheetml/2014/revision" mc:Ignorable="xr" xr:uid="{1FAA4516-6D28-471A-A38E-CBBD51B6899B}" name="PivotTable7" cacheId="628" applyNumberFormats="0" applyBorderFormats="0" applyFontFormats="0" applyPatternFormats="0" applyAlignmentFormats="0" applyWidthHeightFormats="1" dataCaption="Values" updatedVersion="8" minRefreshableVersion="3" useAutoFormatting="1" subtotalHiddenItems="1" itemPrintTitles="1" createdVersion="8" indent="0" outline="1" outlineData="1" multipleFieldFilters="0">
  <location ref="A8:A9" firstHeaderRow="1" firstDataRow="1" firstDataCol="0"/>
  <pivotFields count="3">
    <pivotField dataField="1" subtotalTop="0" showAll="0" defaultSubtotal="0"/>
    <pivotField allDrilled="1" subtotalTop="0" showAll="0" dataSourceSort="1" defaultSubtotal="0" defaultAttributeDrillState="1"/>
    <pivotField allDrilled="1" subtotalTop="0" showAll="0" dataSourceSort="1" defaultSubtotal="0" defaultAttributeDrillState="1"/>
  </pivotFields>
  <rowItems count="1">
    <i/>
  </rowItems>
  <colItems count="1">
    <i/>
  </colItems>
  <dataFields count="1">
    <dataField name="Sum of Sales" fld="0" baseField="0" baseItem="0"/>
  </dataFields>
  <pivotHierarchies count="50">
    <pivotHierarchy multipleItemSelectionAllowed="1"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multipleItemSelectionAllowed="1" dragToData="1">
      <members count="1" level="1">
        <member name="[tblInventory].[ProductName].&amp;[Bottle Water]"/>
      </members>
    </pivotHierarchy>
    <pivotHierarchy dragToData="1"/>
    <pivotHierarchy dragToData="1"/>
    <pivotHierarchy dragToData="1"/>
    <pivotHierarchy dragToData="1"/>
    <pivotHierarchy dragToData="1"/>
    <pivotHierarchy dragToData="1"/>
    <pivotHierarchy dragToData="1"/>
    <pivotHierarchy dragToData="1"/>
    <pivotHierarchy multipleItemSelectionAllowed="1"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Data="1"/>
    <pivotHierarchy dragToData="1"/>
    <pivotHierarchy dragToData="1"/>
    <pivotHierarchy dragToData="1"/>
    <pivotHierarchy dragToData="1"/>
    <pivotHierarchy dragToData="1"/>
    <pivotHierarchy dragToData="1"/>
    <pivotHierarchy dragToData="1"/>
  </pivotHierarchie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Calender]"/>
        <x15:activeTabTopLevelEntity name="[tblInventory]"/>
        <x15:activeTabTopLevelEntity name="[tblSales]"/>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9.xml><?xml version="1.0" encoding="utf-8"?>
<pivotTableDefinition xmlns="http://schemas.openxmlformats.org/spreadsheetml/2006/main" xmlns:mc="http://schemas.openxmlformats.org/markup-compatibility/2006" xmlns:xr="http://schemas.microsoft.com/office/spreadsheetml/2014/revision" mc:Ignorable="xr" xr:uid="{082F0384-B161-427D-BD94-230E6BF63695}" name="PivotTable8" cacheId="559"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location ref="K19:L22" firstHeaderRow="1" firstDataRow="1" firstDataCol="1" rowPageCount="1" colPageCount="1"/>
  <pivotFields count="4">
    <pivotField axis="axisRow" allDrilled="1" subtotalTop="0" showAll="0" dataSourceSort="1" defaultSubtotal="0" defaultAttributeDrillState="1">
      <items count="2">
        <item x="0"/>
        <item x="1"/>
      </items>
    </pivotField>
    <pivotField axis="axisPage" allDrilled="1" subtotalTop="0" showAll="0" dataSourceSort="1" defaultSubtotal="0" defaultAttributeDrillState="1"/>
    <pivotField dataField="1" subtotalTop="0" showAll="0" defaultSubtotal="0"/>
    <pivotField allDrilled="1" subtotalTop="0" showAll="0" dataSourceSort="1" defaultSubtotal="0" defaultAttributeDrillState="1"/>
  </pivotFields>
  <rowFields count="1">
    <field x="0"/>
  </rowFields>
  <rowItems count="3">
    <i>
      <x/>
    </i>
    <i>
      <x v="1"/>
    </i>
    <i t="grand">
      <x/>
    </i>
  </rowItems>
  <colItems count="1">
    <i/>
  </colItems>
  <pageFields count="1">
    <pageField fld="1" hier="22" name="[tblInventory].[Stock Status].&amp;[Low Stock]" cap="Low Stock"/>
  </pageFields>
  <dataFields count="1">
    <dataField name="Count of StockBalance" fld="2" subtotal="count" baseField="0" baseItem="0"/>
  </dataFields>
  <pivotHierarchies count="50">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multipleItemSelectionAllowed="1" dragToData="1">
      <members count="1" level="1">
        <member name="[tblInventory].[Stock Status].&amp;[Low Stock]"/>
      </members>
    </pivotHierarchy>
    <pivotHierarchy dragToData="1"/>
    <pivotHierarchy dragToData="1"/>
    <pivotHierarchy dragToData="1"/>
    <pivotHierarchy multipleItemSelectionAllowed="1"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Data="1"/>
    <pivotHierarchy dragToData="1"/>
    <pivotHierarchy dragToData="1"/>
    <pivotHierarchy dragToData="1"/>
    <pivotHierarchy dragToData="1"/>
    <pivotHierarchy dragToData="1" caption="Count of StockBalance"/>
    <pivotHierarchy dragToData="1"/>
    <pivotHierarchy dragToData="1"/>
  </pivotHierarchies>
  <pivotTableStyleInfo name="PivotStyleLight16" showRowHeaders="1" showColHeaders="1" showRowStripes="0" showColStripes="0" showLastColumn="1"/>
  <rowHierarchiesUsage count="1">
    <rowHierarchyUsage hierarchyUsage="17"/>
  </row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relNeededHidden="1">
        <x15:activeTabTopLevelEntity name="[Calender]"/>
        <x15:activeTabTopLevelEntity name="[tblSales]"/>
        <x15:activeTabTopLevelEntity name="[tblInventory]"/>
      </x15:pivotTableUISettings>
    </ext>
    <ext xmlns:xpdl="http://schemas.microsoft.com/office/spreadsheetml/2016/pivotdefaultlayout" uri="{747A6164-185A-40DC-8AA5-F01512510D54}">
      <xpdl:pivotTableDefinition16 EnabledSubtotalsDefault="0" SubtotalsOnTopDefault="0"/>
    </ext>
  </extLst>
</pivotTableDefinition>
</file>

<file path=xl/slicerCaches/slicerCache1.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ProductName" xr10:uid="{84842A40-90CC-437B-A47B-2C8A9C1B1085}" sourceName="[tblSales].[ProductName]">
  <pivotTables>
    <pivotTable tabId="5" name="PivotTable8"/>
    <pivotTable tabId="5" name="PivotTable7"/>
    <pivotTable tabId="5" name="PivotTable10"/>
    <pivotTable tabId="5" name="PivotTable5"/>
    <pivotTable tabId="5" name="PivotTable6"/>
    <pivotTable tabId="5" name="PivotTable9"/>
    <pivotTable tabId="5" name="PivotTable1"/>
  </pivotTables>
  <data>
    <olap pivotCacheId="186559929">
      <levels count="2">
        <level uniqueName="[tblSales].[ProductName].[(All)]" sourceCaption="(All)" count="0"/>
        <level uniqueName="[tblSales].[ProductName].[ProductName]" sourceCaption="ProductName" count="4">
          <ranges>
            <range startItem="0">
              <i n="[tblSales].[ProductName].&amp;[Bottle Water]" c="Bottle Water"/>
              <i n="[tblSales].[ProductName].&amp;[BREAD]" c="BREAD"/>
              <i n="[tblSales].[ProductName].&amp;[Canned Soda]" c="Canned Soda"/>
              <i n="[tblSales].[ProductName].&amp;[Energy Drink]" c="Energy Drink"/>
            </range>
          </ranges>
        </level>
      </levels>
      <selections count="1">
        <selection n="[tblSales].[ProductName].[All]"/>
      </selections>
    </olap>
  </data>
</slicerCacheDefinition>
</file>

<file path=xl/slicerCaches/slicerCache2.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Date" xr10:uid="{CED60BF2-3C6F-4C4C-B3A8-0C7E6A99D7ED}" sourceName="[Calender].[Date]">
  <pivotTables>
    <pivotTable tabId="5" name="PivotTable7"/>
    <pivotTable tabId="5" name="PivotTable12"/>
    <pivotTable tabId="5" name="PivotTable10"/>
    <pivotTable tabId="5" name="PivotTable5"/>
    <pivotTable tabId="5" name="PivotTable6"/>
    <pivotTable tabId="5" name="PivotTable9"/>
    <pivotTable tabId="5" name="PivotTable1"/>
  </pivotTables>
  <data>
    <olap pivotCacheId="186559929">
      <levels count="2">
        <level uniqueName="[Calender].[Date].[(All)]" sourceCaption="(All)" count="0"/>
        <level uniqueName="[Calender].[Date].[Date]" sourceCaption="Date" count="442">
          <ranges>
            <range startItem="0">
              <i n="[Calender].[Date].&amp;[2025-01-01T00:00:00]" c="1/1/2025"/>
              <i n="[Calender].[Date].&amp;[2025-01-02T00:00:00]" c="1/2/2025"/>
              <i n="[Calender].[Date].&amp;[2025-01-03T00:00:00]" c="1/3/2025"/>
              <i n="[Calender].[Date].&amp;[2025-01-04T00:00:00]" c="1/4/2025"/>
              <i n="[Calender].[Date].&amp;[2025-01-05T00:00:00]" c="1/5/2025"/>
              <i n="[Calender].[Date].&amp;[2025-01-09T00:00:00]" c="1/9/2025"/>
              <i n="[Calender].[Date].&amp;[2025-01-10T00:00:00]" c="1/10/2025"/>
              <i n="[Calender].[Date].&amp;[2025-01-11T00:00:00]" c="1/11/2025"/>
              <i n="[Calender].[Date].&amp;[2025-01-12T00:00:00]" c="1/12/2025"/>
              <i n="[Calender].[Date].&amp;[2025-01-06T00:00:00]" c="1/6/2025" nd="1"/>
              <i n="[Calender].[Date].&amp;[2025-01-07T00:00:00]" c="1/7/2025" nd="1"/>
              <i n="[Calender].[Date].&amp;[2025-01-08T00:00:00]" c="1/8/2025" nd="1"/>
              <i n="[Calender].[Date].&amp;[2025-01-13T00:00:00]" c="1/13/2025" nd="1"/>
              <i n="[Calender].[Date].&amp;[2025-01-14T00:00:00]" c="1/14/2025" nd="1"/>
              <i n="[Calender].[Date].&amp;[2025-01-15T00:00:00]" c="1/15/2025" nd="1"/>
              <i n="[Calender].[Date].&amp;[2025-01-16T00:00:00]" c="1/16/2025" nd="1"/>
              <i n="[Calender].[Date].&amp;[2025-01-17T00:00:00]" c="1/17/2025" nd="1"/>
              <i n="[Calender].[Date].&amp;[2025-01-18T00:00:00]" c="1/18/2025" nd="1"/>
              <i n="[Calender].[Date].&amp;[2025-01-19T00:00:00]" c="1/19/2025" nd="1"/>
              <i n="[Calender].[Date].&amp;[2025-01-20T00:00:00]" c="1/20/2025" nd="1"/>
              <i n="[Calender].[Date].&amp;[2025-01-21T00:00:00]" c="1/21/2025" nd="1"/>
              <i n="[Calender].[Date].&amp;[2025-01-22T00:00:00]" c="1/22/2025" nd="1"/>
              <i n="[Calender].[Date].&amp;[2025-01-23T00:00:00]" c="1/23/2025" nd="1"/>
              <i n="[Calender].[Date].&amp;[2025-01-24T00:00:00]" c="1/24/2025" nd="1"/>
              <i n="[Calender].[Date].&amp;[2025-01-25T00:00:00]" c="1/25/2025" nd="1"/>
              <i n="[Calender].[Date].&amp;[2025-01-26T00:00:00]" c="1/26/2025" nd="1"/>
              <i n="[Calender].[Date].&amp;[2025-01-27T00:00:00]" c="1/27/2025" nd="1"/>
              <i n="[Calender].[Date].&amp;[2025-01-28T00:00:00]" c="1/28/2025" nd="1"/>
              <i n="[Calender].[Date].&amp;[2025-01-29T00:00:00]" c="1/29/2025" nd="1"/>
              <i n="[Calender].[Date].&amp;[2025-01-30T00:00:00]" c="1/30/2025" nd="1"/>
              <i n="[Calender].[Date].&amp;[2025-01-31T00:00:00]" c="1/31/2025" nd="1"/>
              <i n="[Calender].[Date].&amp;[2025-02-01T00:00:00]" c="2/1/2025" nd="1"/>
              <i n="[Calender].[Date].&amp;[2025-02-02T00:00:00]" c="2/2/2025" nd="1"/>
              <i n="[Calender].[Date].&amp;[2025-02-03T00:00:00]" c="2/3/2025" nd="1"/>
              <i n="[Calender].[Date].&amp;[2025-02-04T00:00:00]" c="2/4/2025" nd="1"/>
              <i n="[Calender].[Date].&amp;[2025-02-05T00:00:00]" c="2/5/2025" nd="1"/>
              <i n="[Calender].[Date].&amp;[2025-02-06T00:00:00]" c="2/6/2025" nd="1"/>
              <i n="[Calender].[Date].&amp;[2025-02-07T00:00:00]" c="2/7/2025" nd="1"/>
              <i n="[Calender].[Date].&amp;[2025-02-08T00:00:00]" c="2/8/2025" nd="1"/>
              <i n="[Calender].[Date].&amp;[2025-02-09T00:00:00]" c="2/9/2025" nd="1"/>
              <i n="[Calender].[Date].&amp;[2025-02-10T00:00:00]" c="2/10/2025" nd="1"/>
              <i n="[Calender].[Date].&amp;[2025-02-11T00:00:00]" c="2/11/2025" nd="1"/>
              <i n="[Calender].[Date].&amp;[2025-02-12T00:00:00]" c="2/12/2025" nd="1"/>
              <i n="[Calender].[Date].&amp;[2025-02-13T00:00:00]" c="2/13/2025" nd="1"/>
              <i n="[Calender].[Date].&amp;[2025-02-14T00:00:00]" c="2/14/2025" nd="1"/>
              <i n="[Calender].[Date].&amp;[2025-02-15T00:00:00]" c="2/15/2025" nd="1"/>
              <i n="[Calender].[Date].&amp;[2025-02-16T00:00:00]" c="2/16/2025" nd="1"/>
              <i n="[Calender].[Date].&amp;[2025-02-17T00:00:00]" c="2/17/2025" nd="1"/>
              <i n="[Calender].[Date].&amp;[2025-02-18T00:00:00]" c="2/18/2025" nd="1"/>
              <i n="[Calender].[Date].&amp;[2025-02-19T00:00:00]" c="2/19/2025" nd="1"/>
              <i n="[Calender].[Date].&amp;[2025-02-20T00:00:00]" c="2/20/2025" nd="1"/>
              <i n="[Calender].[Date].&amp;[2025-02-21T00:00:00]" c="2/21/2025" nd="1"/>
              <i n="[Calender].[Date].&amp;[2025-02-22T00:00:00]" c="2/22/2025" nd="1"/>
              <i n="[Calender].[Date].&amp;[2025-02-23T00:00:00]" c="2/23/2025" nd="1"/>
              <i n="[Calender].[Date].&amp;[2025-02-24T00:00:00]" c="2/24/2025" nd="1"/>
              <i n="[Calender].[Date].&amp;[2025-02-25T00:00:00]" c="2/25/2025" nd="1"/>
              <i n="[Calender].[Date].&amp;[2025-02-26T00:00:00]" c="2/26/2025" nd="1"/>
              <i n="[Calender].[Date].&amp;[2025-02-27T00:00:00]" c="2/27/2025" nd="1"/>
              <i n="[Calender].[Date].&amp;[2025-02-28T00:00:00]" c="2/28/2025" nd="1"/>
              <i n="[Calender].[Date].&amp;[2025-03-01T00:00:00]" c="3/1/2025" nd="1"/>
              <i n="[Calender].[Date].&amp;[2025-03-02T00:00:00]" c="3/2/2025" nd="1"/>
              <i n="[Calender].[Date].&amp;[2025-03-03T00:00:00]" c="3/3/2025" nd="1"/>
              <i n="[Calender].[Date].&amp;[2025-03-04T00:00:00]" c="3/4/2025" nd="1"/>
              <i n="[Calender].[Date].&amp;[2025-03-05T00:00:00]" c="3/5/2025" nd="1"/>
              <i n="[Calender].[Date].&amp;[2025-03-06T00:00:00]" c="3/6/2025" nd="1"/>
              <i n="[Calender].[Date].&amp;[2025-03-07T00:00:00]" c="3/7/2025" nd="1"/>
              <i n="[Calender].[Date].&amp;[2025-03-08T00:00:00]" c="3/8/2025" nd="1"/>
              <i n="[Calender].[Date].&amp;[2025-03-09T00:00:00]" c="3/9/2025" nd="1"/>
              <i n="[Calender].[Date].&amp;[2025-03-10T00:00:00]" c="3/10/2025" nd="1"/>
              <i n="[Calender].[Date].&amp;[2025-03-11T00:00:00]" c="3/11/2025" nd="1"/>
              <i n="[Calender].[Date].&amp;[2025-03-12T00:00:00]" c="3/12/2025" nd="1"/>
              <i n="[Calender].[Date].&amp;[2025-03-13T00:00:00]" c="3/13/2025" nd="1"/>
              <i n="[Calender].[Date].&amp;[2025-03-14T00:00:00]" c="3/14/2025" nd="1"/>
              <i n="[Calender].[Date].&amp;[2025-03-15T00:00:00]" c="3/15/2025" nd="1"/>
              <i n="[Calender].[Date].&amp;[2025-03-16T00:00:00]" c="3/16/2025" nd="1"/>
              <i n="[Calender].[Date].&amp;[2025-03-17T00:00:00]" c="3/17/2025" nd="1"/>
              <i n="[Calender].[Date].&amp;[2025-03-18T00:00:00]" c="3/18/2025" nd="1"/>
              <i n="[Calender].[Date].&amp;[2025-03-19T00:00:00]" c="3/19/2025" nd="1"/>
              <i n="[Calender].[Date].&amp;[2025-03-20T00:00:00]" c="3/20/2025" nd="1"/>
              <i n="[Calender].[Date].&amp;[2025-03-21T00:00:00]" c="3/21/2025" nd="1"/>
              <i n="[Calender].[Date].&amp;[2025-03-22T00:00:00]" c="3/22/2025" nd="1"/>
              <i n="[Calender].[Date].&amp;[2025-03-23T00:00:00]" c="3/23/2025" nd="1"/>
              <i n="[Calender].[Date].&amp;[2025-03-24T00:00:00]" c="3/24/2025" nd="1"/>
              <i n="[Calender].[Date].&amp;[2025-03-25T00:00:00]" c="3/25/2025" nd="1"/>
              <i n="[Calender].[Date].&amp;[2025-03-26T00:00:00]" c="3/26/2025" nd="1"/>
              <i n="[Calender].[Date].&amp;[2025-03-27T00:00:00]" c="3/27/2025" nd="1"/>
              <i n="[Calender].[Date].&amp;[2025-03-28T00:00:00]" c="3/28/2025" nd="1"/>
              <i n="[Calender].[Date].&amp;[2025-03-29T00:00:00]" c="3/29/2025" nd="1"/>
              <i n="[Calender].[Date].&amp;[2025-03-30T00:00:00]" c="3/30/2025" nd="1"/>
              <i n="[Calender].[Date].&amp;[2025-03-31T00:00:00]" c="3/31/2025" nd="1"/>
              <i n="[Calender].[Date].&amp;[2025-04-01T00:00:00]" c="4/1/2025" nd="1"/>
              <i n="[Calender].[Date].&amp;[2025-04-02T00:00:00]" c="4/2/2025" nd="1"/>
              <i n="[Calender].[Date].&amp;[2025-04-03T00:00:00]" c="4/3/2025" nd="1"/>
              <i n="[Calender].[Date].&amp;[2025-04-04T00:00:00]" c="4/4/2025" nd="1"/>
              <i n="[Calender].[Date].&amp;[2025-04-05T00:00:00]" c="4/5/2025" nd="1"/>
              <i n="[Calender].[Date].&amp;[2025-04-06T00:00:00]" c="4/6/2025" nd="1"/>
              <i n="[Calender].[Date].&amp;[2025-04-07T00:00:00]" c="4/7/2025" nd="1"/>
              <i n="[Calender].[Date].&amp;[2025-04-08T00:00:00]" c="4/8/2025" nd="1"/>
              <i n="[Calender].[Date].&amp;[2025-04-09T00:00:00]" c="4/9/2025" nd="1"/>
              <i n="[Calender].[Date].&amp;[2025-04-10T00:00:00]" c="4/10/2025" nd="1"/>
              <i n="[Calender].[Date].&amp;[2025-04-11T00:00:00]" c="4/11/2025" nd="1"/>
              <i n="[Calender].[Date].&amp;[2025-04-12T00:00:00]" c="4/12/2025" nd="1"/>
              <i n="[Calender].[Date].&amp;[2025-04-13T00:00:00]" c="4/13/2025" nd="1"/>
              <i n="[Calender].[Date].&amp;[2025-04-14T00:00:00]" c="4/14/2025" nd="1"/>
              <i n="[Calender].[Date].&amp;[2025-04-15T00:00:00]" c="4/15/2025" nd="1"/>
              <i n="[Calender].[Date].&amp;[2025-04-16T00:00:00]" c="4/16/2025" nd="1"/>
              <i n="[Calender].[Date].&amp;[2025-04-17T00:00:00]" c="4/17/2025" nd="1"/>
              <i n="[Calender].[Date].&amp;[2025-04-18T00:00:00]" c="4/18/2025" nd="1"/>
              <i n="[Calender].[Date].&amp;[2025-04-19T00:00:00]" c="4/19/2025" nd="1"/>
              <i n="[Calender].[Date].&amp;[2025-04-20T00:00:00]" c="4/20/2025" nd="1"/>
              <i n="[Calender].[Date].&amp;[2025-04-21T00:00:00]" c="4/21/2025" nd="1"/>
              <i n="[Calender].[Date].&amp;[2025-04-22T00:00:00]" c="4/22/2025" nd="1"/>
              <i n="[Calender].[Date].&amp;[2025-04-23T00:00:00]" c="4/23/2025" nd="1"/>
              <i n="[Calender].[Date].&amp;[2025-04-24T00:00:00]" c="4/24/2025" nd="1"/>
              <i n="[Calender].[Date].&amp;[2025-04-25T00:00:00]" c="4/25/2025" nd="1"/>
              <i n="[Calender].[Date].&amp;[2025-04-26T00:00:00]" c="4/26/2025" nd="1"/>
              <i n="[Calender].[Date].&amp;[2025-04-27T00:00:00]" c="4/27/2025" nd="1"/>
              <i n="[Calender].[Date].&amp;[2025-04-28T00:00:00]" c="4/28/2025" nd="1"/>
              <i n="[Calender].[Date].&amp;[2025-04-29T00:00:00]" c="4/29/2025" nd="1"/>
              <i n="[Calender].[Date].&amp;[2025-04-30T00:00:00]" c="4/30/2025" nd="1"/>
              <i n="[Calender].[Date].&amp;[2025-05-01T00:00:00]" c="5/1/2025" nd="1"/>
              <i n="[Calender].[Date].&amp;[2025-05-02T00:00:00]" c="5/2/2025" nd="1"/>
              <i n="[Calender].[Date].&amp;[2025-05-03T00:00:00]" c="5/3/2025" nd="1"/>
              <i n="[Calender].[Date].&amp;[2025-05-04T00:00:00]" c="5/4/2025" nd="1"/>
              <i n="[Calender].[Date].&amp;[2025-05-05T00:00:00]" c="5/5/2025" nd="1"/>
              <i n="[Calender].[Date].&amp;[2025-05-06T00:00:00]" c="5/6/2025" nd="1"/>
              <i n="[Calender].[Date].&amp;[2025-05-07T00:00:00]" c="5/7/2025" nd="1"/>
              <i n="[Calender].[Date].&amp;[2025-05-08T00:00:00]" c="5/8/2025" nd="1"/>
              <i n="[Calender].[Date].&amp;[2025-05-09T00:00:00]" c="5/9/2025" nd="1"/>
              <i n="[Calender].[Date].&amp;[2025-05-10T00:00:00]" c="5/10/2025" nd="1"/>
              <i n="[Calender].[Date].&amp;[2025-05-11T00:00:00]" c="5/11/2025" nd="1"/>
              <i n="[Calender].[Date].&amp;[2025-05-12T00:00:00]" c="5/12/2025" nd="1"/>
              <i n="[Calender].[Date].&amp;[2025-05-13T00:00:00]" c="5/13/2025" nd="1"/>
              <i n="[Calender].[Date].&amp;[2025-05-14T00:00:00]" c="5/14/2025" nd="1"/>
              <i n="[Calender].[Date].&amp;[2025-05-15T00:00:00]" c="5/15/2025" nd="1"/>
              <i n="[Calender].[Date].&amp;[2025-05-16T00:00:00]" c="5/16/2025" nd="1"/>
              <i n="[Calender].[Date].&amp;[2025-05-17T00:00:00]" c="5/17/2025" nd="1"/>
              <i n="[Calender].[Date].&amp;[2025-05-18T00:00:00]" c="5/18/2025" nd="1"/>
              <i n="[Calender].[Date].&amp;[2025-05-19T00:00:00]" c="5/19/2025" nd="1"/>
              <i n="[Calender].[Date].&amp;[2025-05-20T00:00:00]" c="5/20/2025" nd="1"/>
              <i n="[Calender].[Date].&amp;[2025-05-21T00:00:00]" c="5/21/2025" nd="1"/>
              <i n="[Calender].[Date].&amp;[2025-05-22T00:00:00]" c="5/22/2025" nd="1"/>
              <i n="[Calender].[Date].&amp;[2025-05-23T00:00:00]" c="5/23/2025" nd="1"/>
              <i n="[Calender].[Date].&amp;[2025-05-24T00:00:00]" c="5/24/2025" nd="1"/>
              <i n="[Calender].[Date].&amp;[2025-05-25T00:00:00]" c="5/25/2025" nd="1"/>
              <i n="[Calender].[Date].&amp;[2025-05-26T00:00:00]" c="5/26/2025" nd="1"/>
              <i n="[Calender].[Date].&amp;[2025-05-27T00:00:00]" c="5/27/2025" nd="1"/>
              <i n="[Calender].[Date].&amp;[2025-05-28T00:00:00]" c="5/28/2025" nd="1"/>
              <i n="[Calender].[Date].&amp;[2025-05-29T00:00:00]" c="5/29/2025" nd="1"/>
              <i n="[Calender].[Date].&amp;[2025-05-30T00:00:00]" c="5/30/2025" nd="1"/>
              <i n="[Calender].[Date].&amp;[2025-05-31T00:00:00]" c="5/31/2025" nd="1"/>
              <i n="[Calender].[Date].&amp;[2025-06-01T00:00:00]" c="6/1/2025" nd="1"/>
              <i n="[Calender].[Date].&amp;[2025-06-02T00:00:00]" c="6/2/2025" nd="1"/>
              <i n="[Calender].[Date].&amp;[2025-06-03T00:00:00]" c="6/3/2025" nd="1"/>
              <i n="[Calender].[Date].&amp;[2025-06-04T00:00:00]" c="6/4/2025" nd="1"/>
              <i n="[Calender].[Date].&amp;[2025-06-05T00:00:00]" c="6/5/2025" nd="1"/>
              <i n="[Calender].[Date].&amp;[2025-06-06T00:00:00]" c="6/6/2025" nd="1"/>
              <i n="[Calender].[Date].&amp;[2025-06-07T00:00:00]" c="6/7/2025" nd="1"/>
              <i n="[Calender].[Date].&amp;[2025-06-08T00:00:00]" c="6/8/2025" nd="1"/>
              <i n="[Calender].[Date].&amp;[2025-06-09T00:00:00]" c="6/9/2025" nd="1"/>
              <i n="[Calender].[Date].&amp;[2025-06-10T00:00:00]" c="6/10/2025" nd="1"/>
              <i n="[Calender].[Date].&amp;[2025-06-11T00:00:00]" c="6/11/2025" nd="1"/>
              <i n="[Calender].[Date].&amp;[2025-06-12T00:00:00]" c="6/12/2025" nd="1"/>
              <i n="[Calender].[Date].&amp;[2025-06-13T00:00:00]" c="6/13/2025" nd="1"/>
              <i n="[Calender].[Date].&amp;[2025-06-14T00:00:00]" c="6/14/2025" nd="1"/>
              <i n="[Calender].[Date].&amp;[2025-06-15T00:00:00]" c="6/15/2025" nd="1"/>
              <i n="[Calender].[Date].&amp;[2025-06-16T00:00:00]" c="6/16/2025" nd="1"/>
              <i n="[Calender].[Date].&amp;[2025-06-17T00:00:00]" c="6/17/2025" nd="1"/>
              <i n="[Calender].[Date].&amp;[2025-06-18T00:00:00]" c="6/18/2025" nd="1"/>
              <i n="[Calender].[Date].&amp;[2025-06-19T00:00:00]" c="6/19/2025" nd="1"/>
              <i n="[Calender].[Date].&amp;[2025-06-20T00:00:00]" c="6/20/2025" nd="1"/>
              <i n="[Calender].[Date].&amp;[2025-06-21T00:00:00]" c="6/21/2025" nd="1"/>
              <i n="[Calender].[Date].&amp;[2025-06-22T00:00:00]" c="6/22/2025" nd="1"/>
              <i n="[Calender].[Date].&amp;[2025-06-23T00:00:00]" c="6/23/2025" nd="1"/>
              <i n="[Calender].[Date].&amp;[2025-06-24T00:00:00]" c="6/24/2025" nd="1"/>
              <i n="[Calender].[Date].&amp;[2025-06-25T00:00:00]" c="6/25/2025" nd="1"/>
              <i n="[Calender].[Date].&amp;[2025-06-26T00:00:00]" c="6/26/2025" nd="1"/>
              <i n="[Calender].[Date].&amp;[2025-06-27T00:00:00]" c="6/27/2025" nd="1"/>
              <i n="[Calender].[Date].&amp;[2025-06-28T00:00:00]" c="6/28/2025" nd="1"/>
              <i n="[Calender].[Date].&amp;[2025-06-29T00:00:00]" c="6/29/2025" nd="1"/>
              <i n="[Calender].[Date].&amp;[2025-06-30T00:00:00]" c="6/30/2025" nd="1"/>
              <i n="[Calender].[Date].&amp;[2025-07-01T00:00:00]" c="7/1/2025" nd="1"/>
              <i n="[Calender].[Date].&amp;[2025-07-02T00:00:00]" c="7/2/2025" nd="1"/>
              <i n="[Calender].[Date].&amp;[2025-07-03T00:00:00]" c="7/3/2025" nd="1"/>
              <i n="[Calender].[Date].&amp;[2025-07-04T00:00:00]" c="7/4/2025" nd="1"/>
              <i n="[Calender].[Date].&amp;[2025-07-05T00:00:00]" c="7/5/2025" nd="1"/>
              <i n="[Calender].[Date].&amp;[2025-07-06T00:00:00]" c="7/6/2025" nd="1"/>
              <i n="[Calender].[Date].&amp;[2025-07-07T00:00:00]" c="7/7/2025" nd="1"/>
              <i n="[Calender].[Date].&amp;[2025-07-08T00:00:00]" c="7/8/2025" nd="1"/>
              <i n="[Calender].[Date].&amp;[2025-07-09T00:00:00]" c="7/9/2025" nd="1"/>
              <i n="[Calender].[Date].&amp;[2025-07-10T00:00:00]" c="7/10/2025" nd="1"/>
              <i n="[Calender].[Date].&amp;[2025-07-11T00:00:00]" c="7/11/2025" nd="1"/>
              <i n="[Calender].[Date].&amp;[2025-07-12T00:00:00]" c="7/12/2025" nd="1"/>
              <i n="[Calender].[Date].&amp;[2025-07-13T00:00:00]" c="7/13/2025" nd="1"/>
              <i n="[Calender].[Date].&amp;[2025-07-14T00:00:00]" c="7/14/2025" nd="1"/>
              <i n="[Calender].[Date].&amp;[2025-07-15T00:00:00]" c="7/15/2025" nd="1"/>
              <i n="[Calender].[Date].&amp;[2025-07-16T00:00:00]" c="7/16/2025" nd="1"/>
              <i n="[Calender].[Date].&amp;[2025-07-17T00:00:00]" c="7/17/2025" nd="1"/>
              <i n="[Calender].[Date].&amp;[2025-07-18T00:00:00]" c="7/18/2025" nd="1"/>
              <i n="[Calender].[Date].&amp;[2025-07-19T00:00:00]" c="7/19/2025" nd="1"/>
              <i n="[Calender].[Date].&amp;[2025-07-20T00:00:00]" c="7/20/2025" nd="1"/>
              <i n="[Calender].[Date].&amp;[2025-07-21T00:00:00]" c="7/21/2025" nd="1"/>
              <i n="[Calender].[Date].&amp;[2025-07-22T00:00:00]" c="7/22/2025" nd="1"/>
              <i n="[Calender].[Date].&amp;[2025-07-23T00:00:00]" c="7/23/2025" nd="1"/>
              <i n="[Calender].[Date].&amp;[2025-07-24T00:00:00]" c="7/24/2025" nd="1"/>
              <i n="[Calender].[Date].&amp;[2025-07-25T00:00:00]" c="7/25/2025" nd="1"/>
              <i n="[Calender].[Date].&amp;[2025-07-26T00:00:00]" c="7/26/2025" nd="1"/>
              <i n="[Calender].[Date].&amp;[2025-07-27T00:00:00]" c="7/27/2025" nd="1"/>
              <i n="[Calender].[Date].&amp;[2025-07-28T00:00:00]" c="7/28/2025" nd="1"/>
              <i n="[Calender].[Date].&amp;[2025-07-29T00:00:00]" c="7/29/2025" nd="1"/>
              <i n="[Calender].[Date].&amp;[2025-07-30T00:00:00]" c="7/30/2025" nd="1"/>
              <i n="[Calender].[Date].&amp;[2025-07-31T00:00:00]" c="7/31/2025" nd="1"/>
              <i n="[Calender].[Date].&amp;[2025-08-01T00:00:00]" c="8/1/2025" nd="1"/>
              <i n="[Calender].[Date].&amp;[2025-08-02T00:00:00]" c="8/2/2025" nd="1"/>
              <i n="[Calender].[Date].&amp;[2025-08-03T00:00:00]" c="8/3/2025" nd="1"/>
              <i n="[Calender].[Date].&amp;[2025-08-04T00:00:00]" c="8/4/2025" nd="1"/>
              <i n="[Calender].[Date].&amp;[2025-08-05T00:00:00]" c="8/5/2025" nd="1"/>
              <i n="[Calender].[Date].&amp;[2025-08-06T00:00:00]" c="8/6/2025" nd="1"/>
              <i n="[Calender].[Date].&amp;[2025-08-07T00:00:00]" c="8/7/2025" nd="1"/>
              <i n="[Calender].[Date].&amp;[2025-08-08T00:00:00]" c="8/8/2025" nd="1"/>
              <i n="[Calender].[Date].&amp;[2025-08-09T00:00:00]" c="8/9/2025" nd="1"/>
              <i n="[Calender].[Date].&amp;[2025-08-10T00:00:00]" c="8/10/2025" nd="1"/>
              <i n="[Calender].[Date].&amp;[2025-08-11T00:00:00]" c="8/11/2025" nd="1"/>
              <i n="[Calender].[Date].&amp;[2025-08-12T00:00:00]" c="8/12/2025" nd="1"/>
              <i n="[Calender].[Date].&amp;[2025-08-13T00:00:00]" c="8/13/2025" nd="1"/>
              <i n="[Calender].[Date].&amp;[2025-08-14T00:00:00]" c="8/14/2025" nd="1"/>
              <i n="[Calender].[Date].&amp;[2025-08-15T00:00:00]" c="8/15/2025" nd="1"/>
              <i n="[Calender].[Date].&amp;[2025-08-16T00:00:00]" c="8/16/2025" nd="1"/>
              <i n="[Calender].[Date].&amp;[2025-08-17T00:00:00]" c="8/17/2025" nd="1"/>
              <i n="[Calender].[Date].&amp;[2025-08-18T00:00:00]" c="8/18/2025" nd="1"/>
              <i n="[Calender].[Date].&amp;[2025-08-19T00:00:00]" c="8/19/2025" nd="1"/>
              <i n="[Calender].[Date].&amp;[2025-08-20T00:00:00]" c="8/20/2025" nd="1"/>
              <i n="[Calender].[Date].&amp;[2025-08-21T00:00:00]" c="8/21/2025" nd="1"/>
              <i n="[Calender].[Date].&amp;[2025-08-22T00:00:00]" c="8/22/2025" nd="1"/>
              <i n="[Calender].[Date].&amp;[2025-08-23T00:00:00]" c="8/23/2025" nd="1"/>
              <i n="[Calender].[Date].&amp;[2025-08-24T00:00:00]" c="8/24/2025" nd="1"/>
              <i n="[Calender].[Date].&amp;[2025-08-25T00:00:00]" c="8/25/2025" nd="1"/>
              <i n="[Calender].[Date].&amp;[2025-08-26T00:00:00]" c="8/26/2025" nd="1"/>
              <i n="[Calender].[Date].&amp;[2025-08-27T00:00:00]" c="8/27/2025" nd="1"/>
              <i n="[Calender].[Date].&amp;[2025-08-28T00:00:00]" c="8/28/2025" nd="1"/>
              <i n="[Calender].[Date].&amp;[2025-08-29T00:00:00]" c="8/29/2025" nd="1"/>
              <i n="[Calender].[Date].&amp;[2025-08-30T00:00:00]" c="8/30/2025" nd="1"/>
              <i n="[Calender].[Date].&amp;[2025-08-31T00:00:00]" c="8/31/2025" nd="1"/>
              <i n="[Calender].[Date].&amp;[2025-09-01T00:00:00]" c="9/1/2025" nd="1"/>
              <i n="[Calender].[Date].&amp;[2025-09-02T00:00:00]" c="9/2/2025" nd="1"/>
              <i n="[Calender].[Date].&amp;[2025-09-03T00:00:00]" c="9/3/2025" nd="1"/>
              <i n="[Calender].[Date].&amp;[2025-09-04T00:00:00]" c="9/4/2025" nd="1"/>
              <i n="[Calender].[Date].&amp;[2025-09-05T00:00:00]" c="9/5/2025" nd="1"/>
              <i n="[Calender].[Date].&amp;[2025-09-06T00:00:00]" c="9/6/2025" nd="1"/>
              <i n="[Calender].[Date].&amp;[2025-09-07T00:00:00]" c="9/7/2025" nd="1"/>
              <i n="[Calender].[Date].&amp;[2025-09-08T00:00:00]" c="9/8/2025" nd="1"/>
              <i n="[Calender].[Date].&amp;[2025-09-09T00:00:00]" c="9/9/2025" nd="1"/>
              <i n="[Calender].[Date].&amp;[2025-09-10T00:00:00]" c="9/10/2025" nd="1"/>
              <i n="[Calender].[Date].&amp;[2025-09-11T00:00:00]" c="9/11/2025" nd="1"/>
              <i n="[Calender].[Date].&amp;[2025-09-12T00:00:00]" c="9/12/2025" nd="1"/>
              <i n="[Calender].[Date].&amp;[2025-09-13T00:00:00]" c="9/13/2025" nd="1"/>
              <i n="[Calender].[Date].&amp;[2025-09-14T00:00:00]" c="9/14/2025" nd="1"/>
              <i n="[Calender].[Date].&amp;[2025-09-15T00:00:00]" c="9/15/2025" nd="1"/>
              <i n="[Calender].[Date].&amp;[2025-09-16T00:00:00]" c="9/16/2025" nd="1"/>
              <i n="[Calender].[Date].&amp;[2025-09-17T00:00:00]" c="9/17/2025" nd="1"/>
              <i n="[Calender].[Date].&amp;[2025-09-18T00:00:00]" c="9/18/2025" nd="1"/>
              <i n="[Calender].[Date].&amp;[2025-09-19T00:00:00]" c="9/19/2025" nd="1"/>
              <i n="[Calender].[Date].&amp;[2025-09-20T00:00:00]" c="9/20/2025" nd="1"/>
              <i n="[Calender].[Date].&amp;[2025-09-21T00:00:00]" c="9/21/2025" nd="1"/>
              <i n="[Calender].[Date].&amp;[2025-09-22T00:00:00]" c="9/22/2025" nd="1"/>
              <i n="[Calender].[Date].&amp;[2025-09-23T00:00:00]" c="9/23/2025" nd="1"/>
              <i n="[Calender].[Date].&amp;[2025-09-24T00:00:00]" c="9/24/2025" nd="1"/>
              <i n="[Calender].[Date].&amp;[2025-09-25T00:00:00]" c="9/25/2025" nd="1"/>
              <i n="[Calender].[Date].&amp;[2025-09-26T00:00:00]" c="9/26/2025" nd="1"/>
              <i n="[Calender].[Date].&amp;[2025-09-27T00:00:00]" c="9/27/2025" nd="1"/>
              <i n="[Calender].[Date].&amp;[2025-09-28T00:00:00]" c="9/28/2025" nd="1"/>
              <i n="[Calender].[Date].&amp;[2025-09-29T00:00:00]" c="9/29/2025" nd="1"/>
              <i n="[Calender].[Date].&amp;[2025-09-30T00:00:00]" c="9/30/2025" nd="1"/>
              <i n="[Calender].[Date].&amp;[2025-10-01T00:00:00]" c="10/1/2025" nd="1"/>
              <i n="[Calender].[Date].&amp;[2025-10-02T00:00:00]" c="10/2/2025" nd="1"/>
              <i n="[Calender].[Date].&amp;[2025-10-03T00:00:00]" c="10/3/2025" nd="1"/>
              <i n="[Calender].[Date].&amp;[2025-10-04T00:00:00]" c="10/4/2025" nd="1"/>
              <i n="[Calender].[Date].&amp;[2025-10-05T00:00:00]" c="10/5/2025" nd="1"/>
              <i n="[Calender].[Date].&amp;[2025-10-06T00:00:00]" c="10/6/2025" nd="1"/>
              <i n="[Calender].[Date].&amp;[2025-10-07T00:00:00]" c="10/7/2025" nd="1"/>
              <i n="[Calender].[Date].&amp;[2025-10-08T00:00:00]" c="10/8/2025" nd="1"/>
              <i n="[Calender].[Date].&amp;[2025-10-09T00:00:00]" c="10/9/2025" nd="1"/>
              <i n="[Calender].[Date].&amp;[2025-10-10T00:00:00]" c="10/10/2025" nd="1"/>
              <i n="[Calender].[Date].&amp;[2025-10-11T00:00:00]" c="10/11/2025" nd="1"/>
              <i n="[Calender].[Date].&amp;[2025-10-12T00:00:00]" c="10/12/2025" nd="1"/>
              <i n="[Calender].[Date].&amp;[2025-10-13T00:00:00]" c="10/13/2025" nd="1"/>
              <i n="[Calender].[Date].&amp;[2025-10-14T00:00:00]" c="10/14/2025" nd="1"/>
              <i n="[Calender].[Date].&amp;[2025-10-15T00:00:00]" c="10/15/2025" nd="1"/>
              <i n="[Calender].[Date].&amp;[2025-10-16T00:00:00]" c="10/16/2025" nd="1"/>
              <i n="[Calender].[Date].&amp;[2025-10-17T00:00:00]" c="10/17/2025" nd="1"/>
              <i n="[Calender].[Date].&amp;[2025-10-18T00:00:00]" c="10/18/2025" nd="1"/>
              <i n="[Calender].[Date].&amp;[2025-10-19T00:00:00]" c="10/19/2025" nd="1"/>
              <i n="[Calender].[Date].&amp;[2025-10-20T00:00:00]" c="10/20/2025" nd="1"/>
              <i n="[Calender].[Date].&amp;[2025-10-21T00:00:00]" c="10/21/2025" nd="1"/>
              <i n="[Calender].[Date].&amp;[2025-10-22T00:00:00]" c="10/22/2025" nd="1"/>
              <i n="[Calender].[Date].&amp;[2025-10-23T00:00:00]" c="10/23/2025" nd="1"/>
              <i n="[Calender].[Date].&amp;[2025-10-24T00:00:00]" c="10/24/2025" nd="1"/>
              <i n="[Calender].[Date].&amp;[2025-10-25T00:00:00]" c="10/25/2025" nd="1"/>
              <i n="[Calender].[Date].&amp;[2025-10-26T00:00:00]" c="10/26/2025" nd="1"/>
              <i n="[Calender].[Date].&amp;[2025-10-27T00:00:00]" c="10/27/2025" nd="1"/>
              <i n="[Calender].[Date].&amp;[2025-10-28T00:00:00]" c="10/28/2025" nd="1"/>
              <i n="[Calender].[Date].&amp;[2025-10-29T00:00:00]" c="10/29/2025" nd="1"/>
              <i n="[Calender].[Date].&amp;[2025-10-30T00:00:00]" c="10/30/2025" nd="1"/>
              <i n="[Calender].[Date].&amp;[2025-10-31T00:00:00]" c="10/31/2025" nd="1"/>
              <i n="[Calender].[Date].&amp;[2025-11-01T00:00:00]" c="11/1/2025" nd="1"/>
              <i n="[Calender].[Date].&amp;[2025-11-02T00:00:00]" c="11/2/2025" nd="1"/>
              <i n="[Calender].[Date].&amp;[2025-11-03T00:00:00]" c="11/3/2025" nd="1"/>
              <i n="[Calender].[Date].&amp;[2025-11-04T00:00:00]" c="11/4/2025" nd="1"/>
              <i n="[Calender].[Date].&amp;[2025-11-05T00:00:00]" c="11/5/2025" nd="1"/>
              <i n="[Calender].[Date].&amp;[2025-11-06T00:00:00]" c="11/6/2025" nd="1"/>
              <i n="[Calender].[Date].&amp;[2025-11-07T00:00:00]" c="11/7/2025" nd="1"/>
              <i n="[Calender].[Date].&amp;[2025-11-08T00:00:00]" c="11/8/2025" nd="1"/>
              <i n="[Calender].[Date].&amp;[2025-11-09T00:00:00]" c="11/9/2025" nd="1"/>
              <i n="[Calender].[Date].&amp;[2025-11-10T00:00:00]" c="11/10/2025" nd="1"/>
              <i n="[Calender].[Date].&amp;[2025-11-11T00:00:00]" c="11/11/2025" nd="1"/>
              <i n="[Calender].[Date].&amp;[2025-11-12T00:00:00]" c="11/12/2025" nd="1"/>
              <i n="[Calender].[Date].&amp;[2025-11-13T00:00:00]" c="11/13/2025" nd="1"/>
              <i n="[Calender].[Date].&amp;[2025-11-14T00:00:00]" c="11/14/2025" nd="1"/>
              <i n="[Calender].[Date].&amp;[2025-11-15T00:00:00]" c="11/15/2025" nd="1"/>
              <i n="[Calender].[Date].&amp;[2025-11-16T00:00:00]" c="11/16/2025" nd="1"/>
              <i n="[Calender].[Date].&amp;[2025-11-17T00:00:00]" c="11/17/2025" nd="1"/>
              <i n="[Calender].[Date].&amp;[2025-11-18T00:00:00]" c="11/18/2025" nd="1"/>
              <i n="[Calender].[Date].&amp;[2025-11-19T00:00:00]" c="11/19/2025" nd="1"/>
              <i n="[Calender].[Date].&amp;[2025-11-20T00:00:00]" c="11/20/2025" nd="1"/>
              <i n="[Calender].[Date].&amp;[2025-11-21T00:00:00]" c="11/21/2025" nd="1"/>
              <i n="[Calender].[Date].&amp;[2025-11-22T00:00:00]" c="11/22/2025" nd="1"/>
              <i n="[Calender].[Date].&amp;[2025-11-23T00:00:00]" c="11/23/2025" nd="1"/>
              <i n="[Calender].[Date].&amp;[2025-11-24T00:00:00]" c="11/24/2025" nd="1"/>
              <i n="[Calender].[Date].&amp;[2025-11-25T00:00:00]" c="11/25/2025" nd="1"/>
              <i n="[Calender].[Date].&amp;[2025-11-26T00:00:00]" c="11/26/2025" nd="1"/>
              <i n="[Calender].[Date].&amp;[2025-11-27T00:00:00]" c="11/27/2025" nd="1"/>
              <i n="[Calender].[Date].&amp;[2025-11-28T00:00:00]" c="11/28/2025" nd="1"/>
              <i n="[Calender].[Date].&amp;[2025-11-29T00:00:00]" c="11/29/2025" nd="1"/>
              <i n="[Calender].[Date].&amp;[2025-11-30T00:00:00]" c="11/30/2025" nd="1"/>
              <i n="[Calender].[Date].&amp;[2025-12-01T00:00:00]" c="12/1/2025" nd="1"/>
              <i n="[Calender].[Date].&amp;[2025-12-02T00:00:00]" c="12/2/2025" nd="1"/>
              <i n="[Calender].[Date].&amp;[2025-12-03T00:00:00]" c="12/3/2025" nd="1"/>
              <i n="[Calender].[Date].&amp;[2025-12-04T00:00:00]" c="12/4/2025" nd="1"/>
              <i n="[Calender].[Date].&amp;[2025-12-05T00:00:00]" c="12/5/2025" nd="1"/>
              <i n="[Calender].[Date].&amp;[2025-12-06T00:00:00]" c="12/6/2025" nd="1"/>
              <i n="[Calender].[Date].&amp;[2025-12-07T00:00:00]" c="12/7/2025" nd="1"/>
              <i n="[Calender].[Date].&amp;[2025-12-08T00:00:00]" c="12/8/2025" nd="1"/>
              <i n="[Calender].[Date].&amp;[2025-12-09T00:00:00]" c="12/9/2025" nd="1"/>
              <i n="[Calender].[Date].&amp;[2025-12-10T00:00:00]" c="12/10/2025" nd="1"/>
              <i n="[Calender].[Date].&amp;[2025-12-11T00:00:00]" c="12/11/2025" nd="1"/>
              <i n="[Calender].[Date].&amp;[2025-12-12T00:00:00]" c="12/12/2025" nd="1"/>
              <i n="[Calender].[Date].&amp;[2025-12-13T00:00:00]" c="12/13/2025" nd="1"/>
              <i n="[Calender].[Date].&amp;[2025-12-14T00:00:00]" c="12/14/2025" nd="1"/>
              <i n="[Calender].[Date].&amp;[2025-12-15T00:00:00]" c="12/15/2025" nd="1"/>
              <i n="[Calender].[Date].&amp;[2025-12-16T00:00:00]" c="12/16/2025" nd="1"/>
              <i n="[Calender].[Date].&amp;[2025-12-17T00:00:00]" c="12/17/2025" nd="1"/>
              <i n="[Calender].[Date].&amp;[2025-12-18T00:00:00]" c="12/18/2025" nd="1"/>
              <i n="[Calender].[Date].&amp;[2025-12-19T00:00:00]" c="12/19/2025" nd="1"/>
              <i n="[Calender].[Date].&amp;[2025-12-20T00:00:00]" c="12/20/2025" nd="1"/>
              <i n="[Calender].[Date].&amp;[2025-12-21T00:00:00]" c="12/21/2025" nd="1"/>
              <i n="[Calender].[Date].&amp;[2025-12-22T00:00:00]" c="12/22/2025" nd="1"/>
              <i n="[Calender].[Date].&amp;[2025-12-23T00:00:00]" c="12/23/2025" nd="1"/>
              <i n="[Calender].[Date].&amp;[2025-12-24T00:00:00]" c="12/24/2025" nd="1"/>
              <i n="[Calender].[Date].&amp;[2025-12-25T00:00:00]" c="12/25/2025" nd="1"/>
              <i n="[Calender].[Date].&amp;[2025-12-26T00:00:00]" c="12/26/2025" nd="1"/>
              <i n="[Calender].[Date].&amp;[2025-12-27T00:00:00]" c="12/27/2025" nd="1"/>
              <i n="[Calender].[Date].&amp;[2025-12-28T00:00:00]" c="12/28/2025" nd="1"/>
              <i n="[Calender].[Date].&amp;[2025-12-29T00:00:00]" c="12/29/2025" nd="1"/>
              <i n="[Calender].[Date].&amp;[2025-12-30T00:00:00]" c="12/30/2025" nd="1"/>
              <i n="[Calender].[Date].&amp;[2025-12-31T00:00:00]" c="12/31/2025" nd="1"/>
              <i n="[Calender].[Date].&amp;[2026-01-01T00:00:00]" c="1/1/2026" nd="1"/>
              <i n="[Calender].[Date].&amp;[2026-01-02T00:00:00]" c="1/2/2026" nd="1"/>
              <i n="[Calender].[Date].&amp;[2026-01-03T00:00:00]" c="1/3/2026" nd="1"/>
              <i n="[Calender].[Date].&amp;[2026-01-04T00:00:00]" c="1/4/2026" nd="1"/>
              <i n="[Calender].[Date].&amp;[2026-01-05T00:00:00]" c="1/5/2026" nd="1"/>
              <i n="[Calender].[Date].&amp;[2026-01-06T00:00:00]" c="1/6/2026" nd="1"/>
              <i n="[Calender].[Date].&amp;[2026-01-07T00:00:00]" c="1/7/2026" nd="1"/>
              <i n="[Calender].[Date].&amp;[2026-01-08T00:00:00]" c="1/8/2026" nd="1"/>
              <i n="[Calender].[Date].&amp;[2026-01-09T00:00:00]" c="1/9/2026" nd="1"/>
              <i n="[Calender].[Date].&amp;[2026-01-10T00:00:00]" c="1/10/2026" nd="1"/>
              <i n="[Calender].[Date].&amp;[2026-01-11T00:00:00]" c="1/11/2026" nd="1"/>
              <i n="[Calender].[Date].&amp;[2026-01-12T00:00:00]" c="1/12/2026" nd="1"/>
              <i n="[Calender].[Date].&amp;[2026-01-13T00:00:00]" c="1/13/2026" nd="1"/>
              <i n="[Calender].[Date].&amp;[2026-01-14T00:00:00]" c="1/14/2026" nd="1"/>
              <i n="[Calender].[Date].&amp;[2026-01-15T00:00:00]" c="1/15/2026" nd="1"/>
              <i n="[Calender].[Date].&amp;[2026-01-16T00:00:00]" c="1/16/2026" nd="1"/>
              <i n="[Calender].[Date].&amp;[2026-01-17T00:00:00]" c="1/17/2026" nd="1"/>
              <i n="[Calender].[Date].&amp;[2026-01-18T00:00:00]" c="1/18/2026" nd="1"/>
              <i n="[Calender].[Date].&amp;[2026-01-19T00:00:00]" c="1/19/2026" nd="1"/>
              <i n="[Calender].[Date].&amp;[2026-01-20T00:00:00]" c="1/20/2026" nd="1"/>
              <i n="[Calender].[Date].&amp;[2026-01-21T00:00:00]" c="1/21/2026" nd="1"/>
              <i n="[Calender].[Date].&amp;[2026-01-22T00:00:00]" c="1/22/2026" nd="1"/>
              <i n="[Calender].[Date].&amp;[2026-01-23T00:00:00]" c="1/23/2026" nd="1"/>
              <i n="[Calender].[Date].&amp;[2026-01-24T00:00:00]" c="1/24/2026" nd="1"/>
              <i n="[Calender].[Date].&amp;[2026-01-25T00:00:00]" c="1/25/2026" nd="1"/>
              <i n="[Calender].[Date].&amp;[2026-01-26T00:00:00]" c="1/26/2026" nd="1"/>
              <i n="[Calender].[Date].&amp;[2026-01-27T00:00:00]" c="1/27/2026" nd="1"/>
              <i n="[Calender].[Date].&amp;[2026-01-28T00:00:00]" c="1/28/2026" nd="1"/>
              <i n="[Calender].[Date].&amp;[2026-01-29T00:00:00]" c="1/29/2026" nd="1"/>
              <i n="[Calender].[Date].&amp;[2026-01-30T00:00:00]" c="1/30/2026" nd="1"/>
              <i n="[Calender].[Date].&amp;[2026-01-31T00:00:00]" c="1/31/2026" nd="1"/>
              <i n="[Calender].[Date].&amp;[2026-02-01T00:00:00]" c="2/1/2026" nd="1"/>
              <i n="[Calender].[Date].&amp;[2026-02-02T00:00:00]" c="2/2/2026" nd="1"/>
              <i n="[Calender].[Date].&amp;[2026-02-03T00:00:00]" c="2/3/2026" nd="1"/>
              <i n="[Calender].[Date].&amp;[2026-02-04T00:00:00]" c="2/4/2026" nd="1"/>
              <i n="[Calender].[Date].&amp;[2026-02-05T00:00:00]" c="2/5/2026" nd="1"/>
              <i n="[Calender].[Date].&amp;[2026-02-06T00:00:00]" c="2/6/2026" nd="1"/>
              <i n="[Calender].[Date].&amp;[2026-02-07T00:00:00]" c="2/7/2026" nd="1"/>
              <i n="[Calender].[Date].&amp;[2026-02-08T00:00:00]" c="2/8/2026" nd="1"/>
              <i n="[Calender].[Date].&amp;[2026-02-09T00:00:00]" c="2/9/2026" nd="1"/>
              <i n="[Calender].[Date].&amp;[2026-02-10T00:00:00]" c="2/10/2026" nd="1"/>
              <i n="[Calender].[Date].&amp;[2026-02-11T00:00:00]" c="2/11/2026" nd="1"/>
              <i n="[Calender].[Date].&amp;[2026-02-12T00:00:00]" c="2/12/2026" nd="1"/>
              <i n="[Calender].[Date].&amp;[2026-02-13T00:00:00]" c="2/13/2026" nd="1"/>
              <i n="[Calender].[Date].&amp;[2026-02-14T00:00:00]" c="2/14/2026" nd="1"/>
              <i n="[Calender].[Date].&amp;[2026-02-15T00:00:00]" c="2/15/2026" nd="1"/>
              <i n="[Calender].[Date].&amp;[2026-02-16T00:00:00]" c="2/16/2026" nd="1"/>
              <i n="[Calender].[Date].&amp;[2026-02-17T00:00:00]" c="2/17/2026" nd="1"/>
              <i n="[Calender].[Date].&amp;[2026-02-18T00:00:00]" c="2/18/2026" nd="1"/>
              <i n="[Calender].[Date].&amp;[2026-02-19T00:00:00]" c="2/19/2026" nd="1"/>
              <i n="[Calender].[Date].&amp;[2026-02-20T00:00:00]" c="2/20/2026" nd="1"/>
              <i n="[Calender].[Date].&amp;[2026-02-21T00:00:00]" c="2/21/2026" nd="1"/>
              <i n="[Calender].[Date].&amp;[2026-02-22T00:00:00]" c="2/22/2026" nd="1"/>
              <i n="[Calender].[Date].&amp;[2026-02-23T00:00:00]" c="2/23/2026" nd="1"/>
              <i n="[Calender].[Date].&amp;[2026-02-24T00:00:00]" c="2/24/2026" nd="1"/>
              <i n="[Calender].[Date].&amp;[2026-02-25T00:00:00]" c="2/25/2026" nd="1"/>
              <i n="[Calender].[Date].&amp;[2026-02-26T00:00:00]" c="2/26/2026" nd="1"/>
              <i n="[Calender].[Date].&amp;[2026-02-27T00:00:00]" c="2/27/2026" nd="1"/>
              <i n="[Calender].[Date].&amp;[2026-02-28T00:00:00]" c="2/28/2026" nd="1"/>
              <i n="[Calender].[Date].&amp;[2026-03-01T00:00:00]" c="3/1/2026" nd="1"/>
              <i n="[Calender].[Date].&amp;[2026-03-02T00:00:00]" c="3/2/2026" nd="1"/>
              <i n="[Calender].[Date].&amp;[2026-03-03T00:00:00]" c="3/3/2026" nd="1"/>
              <i n="[Calender].[Date].&amp;[2026-03-04T00:00:00]" c="3/4/2026" nd="1"/>
              <i n="[Calender].[Date].&amp;[2026-03-05T00:00:00]" c="3/5/2026" nd="1"/>
              <i n="[Calender].[Date].&amp;[2026-03-06T00:00:00]" c="3/6/2026" nd="1"/>
              <i n="[Calender].[Date].&amp;[2026-03-07T00:00:00]" c="3/7/2026" nd="1"/>
              <i n="[Calender].[Date].&amp;[2026-03-08T00:00:00]" c="3/8/2026" nd="1"/>
              <i n="[Calender].[Date].&amp;[2026-03-09T00:00:00]" c="3/9/2026" nd="1"/>
              <i n="[Calender].[Date].&amp;[2026-03-10T00:00:00]" c="3/10/2026" nd="1"/>
              <i n="[Calender].[Date].&amp;[2026-03-11T00:00:00]" c="3/11/2026" nd="1"/>
              <i n="[Calender].[Date].&amp;[2026-03-12T00:00:00]" c="3/12/2026" nd="1"/>
              <i n="[Calender].[Date].&amp;[2026-03-13T00:00:00]" c="3/13/2026" nd="1"/>
              <i n="[Calender].[Date].&amp;[2026-03-14T00:00:00]" c="3/14/2026" nd="1"/>
              <i n="[Calender].[Date].&amp;[2026-03-15T00:00:00]" c="3/15/2026" nd="1"/>
              <i n="[Calender].[Date].&amp;[2026-03-16T00:00:00]" c="3/16/2026" nd="1"/>
              <i n="[Calender].[Date].&amp;[2026-03-17T00:00:00]" c="3/17/2026" nd="1"/>
              <i n="[Calender].[Date].&amp;" c="(blank)" nd="1"/>
            </range>
          </ranges>
        </level>
      </levels>
      <selections count="1">
        <selection n="[Calender].[Date].[All]"/>
      </selections>
    </olap>
  </data>
</slicerCacheDefinition>
</file>

<file path=xl/slicers/slicer1.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ProductName" xr10:uid="{BF5243E9-1BF3-4534-AE15-78FE9A4F54CF}" cache="Slicer_ProductName" caption="ProductName" level="1" style="SlicerStyleLight6" rowHeight="257175"/>
  <slicer name="Date" xr10:uid="{854B707C-1677-4859-8CAF-7CAB8B6D7F3A}" cache="Slicer_Date" caption="Date" level="1" style="SlicerStyleLight6" rowHeight="257175"/>
</slicers>
</file>

<file path=xl/tables/table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 xr:uid="{9615ABBE-57B0-43C7-9B55-4525BCF3C491}" name="tblSales" displayName="tblSales" ref="A1:L14" totalsRowShown="0" headerRowDxfId="43" dataDxfId="6" headerRowBorderDxfId="42" tableBorderDxfId="41">
  <autoFilter ref="A1:L14" xr:uid="{9615ABBE-57B0-43C7-9B55-4525BCF3C491}"/>
  <tableColumns count="12">
    <tableColumn id="1" xr3:uid="{207C7BCF-58E2-40C2-B4AF-D8B1419D493E}" name="Date" dataDxfId="15"/>
    <tableColumn id="2" xr3:uid="{41C1CA9F-6F69-44D4-A9AA-7F8D07B756C2}" name="InvoiceID" dataDxfId="14"/>
    <tableColumn id="3" xr3:uid="{E04C8B3E-DFB8-499F-8DC0-D16CD1981491}" name="ProductID" dataDxfId="13"/>
    <tableColumn id="4" xr3:uid="{55120B5F-67F3-4527-9F1E-E562EE24E8F0}" name="ProductName" dataDxfId="12"/>
    <tableColumn id="5" xr3:uid="{22C2EA78-31E3-4917-B179-3369070B4E9C}" name="QtySold" dataDxfId="11"/>
    <tableColumn id="6" xr3:uid="{D1B8C4AB-4595-4C2C-BF24-433D6C958694}" name="UnitPrice" dataDxfId="10"/>
    <tableColumn id="8" xr3:uid="{A5887E0F-68ED-4C2F-A0EE-DEF2FE9B8E6B}" name="CostPerProduct" dataDxfId="9"/>
    <tableColumn id="15" xr3:uid="{6DB9418A-1A30-422A-AA0D-EDBE5E27B2DD}" name="Sales" dataDxfId="5">
      <calculatedColumnFormula>tblSales[[#This Row],[QtySold]]*tblSales[[#This Row],[UnitPrice]]</calculatedColumnFormula>
    </tableColumn>
    <tableColumn id="16" xr3:uid="{0948C30C-4A1D-40E0-BC0A-1CA58F2379B4}" name="Cost" dataDxfId="4">
      <calculatedColumnFormula>tblSales[[#This Row],[QtySold]] * tblSales[[#This Row],[CostPerProduct]]</calculatedColumnFormula>
    </tableColumn>
    <tableColumn id="17" xr3:uid="{456309D2-45FA-4EC3-B90D-37C24C14C343}" name="Profit" dataDxfId="3">
      <calculatedColumnFormula>tblSales[[#This Row],[Sales]] - tblSales[[#This Row],[Cost]]</calculatedColumnFormula>
    </tableColumn>
    <tableColumn id="11" xr3:uid="{3B52B6BB-0E63-4F92-AF79-14FCCE185FE5}" name="Customer" dataDxfId="8"/>
    <tableColumn id="12" xr3:uid="{8FF0872D-396F-4DD8-9E45-493D0A01D6EE}" name="PaymentMethod" dataDxfId="7"/>
  </tableColumns>
  <tableStyleInfo name="TableStyleMedium9" showFirstColumn="0" showLastColumn="0" showRowStripes="1" showColumnStripes="0"/>
</table>
</file>

<file path=xl/tables/table2.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2" xr:uid="{389729D9-9D00-4BA1-AD90-D9954EB74544}" name="tblExpenses" displayName="tblExpenses" ref="A1:E9" totalsRowShown="0" headerRowDxfId="40" dataDxfId="38" headerRowBorderDxfId="39" tableBorderDxfId="37">
  <autoFilter ref="A1:E9" xr:uid="{389729D9-9D00-4BA1-AD90-D9954EB74544}"/>
  <tableColumns count="5">
    <tableColumn id="1" xr3:uid="{29DD3170-616B-4953-9BB8-93B9B01FFCAA}" name="Date" dataDxfId="36"/>
    <tableColumn id="2" xr3:uid="{A39FFBF4-A252-463B-AC2C-08A91AC1329A}" name="OutletID" dataDxfId="35"/>
    <tableColumn id="3" xr3:uid="{5C878D0B-3DAE-476A-8486-CFB8D181E649}" name="Category" dataDxfId="34"/>
    <tableColumn id="4" xr3:uid="{A60A0449-F2F2-4AFA-9AB4-3CEBD7AAF7D0}" name="Amount" dataDxfId="33"/>
    <tableColumn id="5" xr3:uid="{4A42E15E-BEB5-4204-89FA-58205910776E}" name="Notes" dataDxfId="32"/>
  </tableColumns>
  <tableStyleInfo name="TableStyleMedium9" showFirstColumn="0" showLastColumn="0" showRowStripes="1" showColumnStripes="0"/>
</table>
</file>

<file path=xl/tables/table3.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3" xr:uid="{C7F2A5FE-BD96-4DB2-9A97-3EDA670FFA40}" name="tblInventory" displayName="tblInventory" ref="A1:I9" totalsRowShown="0" headerRowDxfId="31" headerRowBorderDxfId="30" tableBorderDxfId="29">
  <autoFilter ref="A1:I9" xr:uid="{C7F2A5FE-BD96-4DB2-9A97-3EDA670FFA40}"/>
  <tableColumns count="9">
    <tableColumn id="1" xr3:uid="{ADB3EA7B-3479-4298-9D84-3B862D97B414}" name="Date" dataDxfId="28"/>
    <tableColumn id="2" xr3:uid="{9E3CD1B7-B4FF-43D5-84BF-03CC2CBB3194}" name="OutletID" dataDxfId="27"/>
    <tableColumn id="3" xr3:uid="{207C340D-6EB4-449C-9303-B26ACD1E87F7}" name="ProductID" dataDxfId="26"/>
    <tableColumn id="4" xr3:uid="{9F233F95-24F2-478B-8F03-E3AEC0591AEE}" name="ProductName" dataDxfId="25"/>
    <tableColumn id="5" xr3:uid="{44277F0D-4D4D-475E-A307-BF1E395CB59C}" name="StockIn" dataDxfId="24"/>
    <tableColumn id="6" xr3:uid="{F81CC16B-5C98-4CDA-BF5E-9C9DC40A367A}" name="StockOut" dataDxfId="23"/>
    <tableColumn id="7" xr3:uid="{F8CB16A5-5718-4182-BBA0-7CCE45A2E1E0}" name="StockBalance" dataDxfId="22">
      <calculatedColumnFormula>tblInventory[[#This Row],[StockIn]]-tblInventory[[#This Row],[StockOut]]</calculatedColumnFormula>
    </tableColumn>
    <tableColumn id="8" xr3:uid="{093D943C-CA13-4EBE-8568-E8D935ADD276}" name="ReorderLevel" dataDxfId="21" dataCellStyle="Comma"/>
    <tableColumn id="9" xr3:uid="{D31B8AE4-E389-4FA0-B566-F65D1E149235}" name="Stock Status" dataDxfId="20">
      <calculatedColumnFormula>IF(tblInventory[[#This Row],[StockBalance]]&lt;tblInventory[[#This Row],[ReorderLevel]],"Low Stock", "OK")</calculatedColumnFormula>
    </tableColumn>
  </tableColumns>
  <tableStyleInfo name="TableStyleMedium9" showFirstColumn="0" showLastColumn="0" showRowStripes="1" showColumnStripes="0"/>
</table>
</file>

<file path=xl/tables/table4.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4" xr:uid="{E2EF8C39-CAB8-4314-AB75-41F05ED45D92}" name="Calender" displayName="Calender" ref="A1:E442" totalsRowShown="0">
  <autoFilter ref="A1:E442" xr:uid="{E2EF8C39-CAB8-4314-AB75-41F05ED45D92}"/>
  <tableColumns count="5">
    <tableColumn id="1" xr3:uid="{D96B41C0-8CF1-416D-BB9B-BA60311D76CD}" name="Date" dataDxfId="19">
      <calculatedColumnFormula>A1+1</calculatedColumnFormula>
    </tableColumn>
    <tableColumn id="2" xr3:uid="{CCE3A0F1-BEFE-4450-8959-9D130E73D903}" name="Year">
      <calculatedColumnFormula>YEAR(A2)</calculatedColumnFormula>
    </tableColumn>
    <tableColumn id="3" xr3:uid="{94C30BC9-972D-4513-8F91-D967AD0C8BC4}" name="Month">
      <calculatedColumnFormula>TEXT(A2,"mmm")</calculatedColumnFormula>
    </tableColumn>
    <tableColumn id="4" xr3:uid="{6FC3738A-94DC-41FE-A806-4863016E3713}" name="Month No">
      <calculatedColumnFormula>MONTH(A2)</calculatedColumnFormula>
    </tableColumn>
    <tableColumn id="5" xr3:uid="{BCA1049C-B00B-4985-9086-0436CB305C03}" name="Day">
      <calculatedColumnFormula>DAY(A2)</calculatedColumnFormula>
    </tableColumn>
  </tableColumns>
  <tableStyleInfo name="TableStyleMedium2" showFirstColumn="0" showLastColumn="0" showRowStripes="1" showColumnStripes="0"/>
</table>
</file>

<file path=xl/theme/theme1.xml><?xml version="1.0" encoding="utf-8"?>
<a:theme xmlns:a="http://schemas.openxmlformats.org/drawingml/2006/main" name="Office Theme">
  <a:themeElements>
    <a:clrScheme name="Office">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Aptos Display" panose="0211000402020202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2E142A2C-CD16-42D6-873A-C26D2A0506FA}" vid="{1BDDFF52-6CD6-40A5-AB3C-68EB2F1E4D0A}"/>
    </a:ext>
  </a:extLst>
</a:theme>
</file>

<file path=xl/worksheets/_rels/sheet1.xml.rels><?xml version="1.0" encoding="UTF-8" standalone="yes"?>
<Relationships xmlns="http://schemas.openxmlformats.org/package/2006/relationships"><Relationship Id="rId2" Type="http://schemas.openxmlformats.org/officeDocument/2006/relationships/table" Target="../tables/table1.xml"/><Relationship Id="rId1" Type="http://schemas.openxmlformats.org/officeDocument/2006/relationships/printerSettings" Target="../printerSettings/printerSettings1.bin"/></Relationships>
</file>

<file path=xl/worksheets/_rels/sheet2.xml.rels><?xml version="1.0" encoding="UTF-8" standalone="yes"?>
<Relationships xmlns="http://schemas.openxmlformats.org/package/2006/relationships"><Relationship Id="rId1" Type="http://schemas.openxmlformats.org/officeDocument/2006/relationships/table" Target="../tables/table2.xml"/></Relationships>
</file>

<file path=xl/worksheets/_rels/sheet3.xml.rels><?xml version="1.0" encoding="UTF-8" standalone="yes"?>
<Relationships xmlns="http://schemas.openxmlformats.org/package/2006/relationships"><Relationship Id="rId1" Type="http://schemas.openxmlformats.org/officeDocument/2006/relationships/table" Target="../tables/table3.xml"/></Relationships>
</file>

<file path=xl/worksheets/_rels/sheet4.xml.rels><?xml version="1.0" encoding="UTF-8" standalone="yes"?>
<Relationships xmlns="http://schemas.openxmlformats.org/package/2006/relationships"><Relationship Id="rId2" Type="http://schemas.microsoft.com/office/2007/relationships/slicer" Target="../slicers/slicer1.xml"/><Relationship Id="rId1" Type="http://schemas.openxmlformats.org/officeDocument/2006/relationships/drawing" Target="../drawings/drawing1.xml"/></Relationships>
</file>

<file path=xl/worksheets/_rels/sheet5.xml.rels><?xml version="1.0" encoding="UTF-8" standalone="yes"?>
<Relationships xmlns="http://schemas.openxmlformats.org/package/2006/relationships"><Relationship Id="rId1" Type="http://schemas.openxmlformats.org/officeDocument/2006/relationships/table" Target="../tables/table4.xml"/></Relationships>
</file>

<file path=xl/worksheets/_rels/sheet7.xml.rels><?xml version="1.0" encoding="UTF-8" standalone="yes"?>
<Relationships xmlns="http://schemas.openxmlformats.org/package/2006/relationships"><Relationship Id="rId8" Type="http://schemas.openxmlformats.org/officeDocument/2006/relationships/pivotTable" Target="../pivotTables/pivotTable8.xml"/><Relationship Id="rId3" Type="http://schemas.openxmlformats.org/officeDocument/2006/relationships/pivotTable" Target="../pivotTables/pivotTable3.xml"/><Relationship Id="rId7" Type="http://schemas.openxmlformats.org/officeDocument/2006/relationships/pivotTable" Target="../pivotTables/pivotTable7.xml"/><Relationship Id="rId2" Type="http://schemas.openxmlformats.org/officeDocument/2006/relationships/pivotTable" Target="../pivotTables/pivotTable2.xml"/><Relationship Id="rId1" Type="http://schemas.openxmlformats.org/officeDocument/2006/relationships/pivotTable" Target="../pivotTables/pivotTable1.xml"/><Relationship Id="rId6" Type="http://schemas.openxmlformats.org/officeDocument/2006/relationships/pivotTable" Target="../pivotTables/pivotTable6.xml"/><Relationship Id="rId5" Type="http://schemas.openxmlformats.org/officeDocument/2006/relationships/pivotTable" Target="../pivotTables/pivotTable5.xml"/><Relationship Id="rId4" Type="http://schemas.openxmlformats.org/officeDocument/2006/relationships/pivotTable" Target="../pivotTables/pivotTable4.xml"/><Relationship Id="rId9" Type="http://schemas.openxmlformats.org/officeDocument/2006/relationships/pivotTable" Target="../pivotTables/pivotTable9.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BEF46B5-A986-4977-8E04-923046E38CCA}">
  <dimension ref="A1:L38"/>
  <sheetViews>
    <sheetView tabSelected="1" zoomScale="95" zoomScaleNormal="95" workbookViewId="0">
      <selection activeCell="H21" sqref="H21"/>
    </sheetView>
  </sheetViews>
  <sheetFormatPr defaultRowHeight="15" x14ac:dyDescent="0.25"/>
  <cols>
    <col min="1" max="1" width="11.85546875" style="13" customWidth="1"/>
    <col min="2" max="2" width="14.140625" bestFit="1" customWidth="1"/>
    <col min="3" max="3" width="13.42578125" bestFit="1" customWidth="1"/>
    <col min="4" max="4" width="14.140625" bestFit="1" customWidth="1"/>
    <col min="5" max="5" width="12.7109375" style="19" bestFit="1" customWidth="1"/>
    <col min="6" max="6" width="15.28515625" bestFit="1" customWidth="1"/>
    <col min="7" max="7" width="13.42578125" bestFit="1" customWidth="1"/>
    <col min="8" max="8" width="12.7109375" style="5" bestFit="1" customWidth="1"/>
    <col min="9" max="9" width="11.28515625" style="5" bestFit="1" customWidth="1"/>
    <col min="10" max="10" width="12" style="5" bestFit="1" customWidth="1"/>
    <col min="11" max="11" width="14.5703125" bestFit="1" customWidth="1"/>
    <col min="12" max="12" width="20.42578125" bestFit="1" customWidth="1"/>
  </cols>
  <sheetData>
    <row r="1" spans="1:12" x14ac:dyDescent="0.25">
      <c r="A1" s="14" t="s">
        <v>28</v>
      </c>
      <c r="B1" s="6" t="s">
        <v>29</v>
      </c>
      <c r="C1" s="6" t="s">
        <v>30</v>
      </c>
      <c r="D1" s="6" t="s">
        <v>31</v>
      </c>
      <c r="E1" s="17" t="s">
        <v>32</v>
      </c>
      <c r="F1" s="7" t="s">
        <v>33</v>
      </c>
      <c r="G1" s="7" t="s">
        <v>71</v>
      </c>
      <c r="H1" s="4" t="s">
        <v>34</v>
      </c>
      <c r="I1" s="4" t="s">
        <v>35</v>
      </c>
      <c r="J1" s="4" t="s">
        <v>36</v>
      </c>
      <c r="K1" s="6" t="s">
        <v>37</v>
      </c>
      <c r="L1" s="8" t="s">
        <v>38</v>
      </c>
    </row>
    <row r="2" spans="1:12" x14ac:dyDescent="0.25">
      <c r="A2" s="15">
        <v>45658</v>
      </c>
      <c r="B2" s="9" t="s">
        <v>27</v>
      </c>
      <c r="C2" s="9" t="s">
        <v>26</v>
      </c>
      <c r="D2" s="9" t="s">
        <v>16</v>
      </c>
      <c r="E2" s="18">
        <v>10</v>
      </c>
      <c r="F2" s="10">
        <v>150</v>
      </c>
      <c r="G2" s="10">
        <v>80</v>
      </c>
      <c r="H2" s="11">
        <f>tblSales[[#This Row],[QtySold]]*tblSales[[#This Row],[UnitPrice]]</f>
        <v>1500</v>
      </c>
      <c r="I2" s="11">
        <f>tblSales[[#This Row],[QtySold]] * tblSales[[#This Row],[CostPerProduct]]</f>
        <v>800</v>
      </c>
      <c r="J2" s="11">
        <f>tblSales[[#This Row],[Sales]] - tblSales[[#This Row],[Cost]]</f>
        <v>700</v>
      </c>
      <c r="K2" s="9" t="s">
        <v>15</v>
      </c>
      <c r="L2" s="9" t="s">
        <v>0</v>
      </c>
    </row>
    <row r="3" spans="1:12" x14ac:dyDescent="0.25">
      <c r="A3" s="15">
        <v>45659</v>
      </c>
      <c r="B3" s="9" t="s">
        <v>25</v>
      </c>
      <c r="C3" s="9" t="s">
        <v>24</v>
      </c>
      <c r="D3" s="9" t="s">
        <v>7</v>
      </c>
      <c r="E3" s="18">
        <v>5</v>
      </c>
      <c r="F3" s="10">
        <v>200</v>
      </c>
      <c r="G3" s="10">
        <v>120</v>
      </c>
      <c r="H3" s="11">
        <f>tblSales[[#This Row],[QtySold]]*tblSales[[#This Row],[UnitPrice]]</f>
        <v>1000</v>
      </c>
      <c r="I3" s="11">
        <f>tblSales[[#This Row],[QtySold]] * tblSales[[#This Row],[CostPerProduct]]</f>
        <v>600</v>
      </c>
      <c r="J3" s="11">
        <f>tblSales[[#This Row],[Sales]] - tblSales[[#This Row],[Cost]]</f>
        <v>400</v>
      </c>
      <c r="K3" s="9" t="s">
        <v>96</v>
      </c>
      <c r="L3" s="9" t="s">
        <v>14</v>
      </c>
    </row>
    <row r="4" spans="1:12" x14ac:dyDescent="0.25">
      <c r="A4" s="16">
        <v>45660</v>
      </c>
      <c r="B4" s="9" t="s">
        <v>23</v>
      </c>
      <c r="C4" s="9" t="s">
        <v>22</v>
      </c>
      <c r="D4" s="9" t="s">
        <v>16</v>
      </c>
      <c r="E4" s="18">
        <v>20</v>
      </c>
      <c r="F4" s="10">
        <v>150</v>
      </c>
      <c r="G4" s="10">
        <v>80</v>
      </c>
      <c r="H4" s="11">
        <f>tblSales[[#This Row],[QtySold]]*tblSales[[#This Row],[UnitPrice]]</f>
        <v>3000</v>
      </c>
      <c r="I4" s="11">
        <f>tblSales[[#This Row],[QtySold]] * tblSales[[#This Row],[CostPerProduct]]</f>
        <v>1600</v>
      </c>
      <c r="J4" s="11">
        <f>tblSales[[#This Row],[Sales]] - tblSales[[#This Row],[Cost]]</f>
        <v>1400</v>
      </c>
      <c r="K4" s="9" t="s">
        <v>97</v>
      </c>
      <c r="L4" s="9" t="s">
        <v>0</v>
      </c>
    </row>
    <row r="5" spans="1:12" x14ac:dyDescent="0.25">
      <c r="A5" s="16">
        <v>45660</v>
      </c>
      <c r="B5" s="9" t="s">
        <v>21</v>
      </c>
      <c r="C5" s="9" t="s">
        <v>20</v>
      </c>
      <c r="D5" s="9" t="s">
        <v>7</v>
      </c>
      <c r="E5" s="18">
        <v>10</v>
      </c>
      <c r="F5" s="10">
        <v>200</v>
      </c>
      <c r="G5" s="10">
        <v>120</v>
      </c>
      <c r="H5" s="11">
        <f>tblSales[[#This Row],[QtySold]]*tblSales[[#This Row],[UnitPrice]]</f>
        <v>2000</v>
      </c>
      <c r="I5" s="11">
        <f>tblSales[[#This Row],[QtySold]] * tblSales[[#This Row],[CostPerProduct]]</f>
        <v>1200</v>
      </c>
      <c r="J5" s="11">
        <f>tblSales[[#This Row],[Sales]] - tblSales[[#This Row],[Cost]]</f>
        <v>800</v>
      </c>
      <c r="K5" s="9" t="s">
        <v>19</v>
      </c>
      <c r="L5" s="9" t="s">
        <v>5</v>
      </c>
    </row>
    <row r="6" spans="1:12" x14ac:dyDescent="0.25">
      <c r="A6" s="15">
        <v>45661</v>
      </c>
      <c r="B6" s="9" t="s">
        <v>18</v>
      </c>
      <c r="C6" s="9" t="s">
        <v>17</v>
      </c>
      <c r="D6" s="9" t="s">
        <v>16</v>
      </c>
      <c r="E6" s="18">
        <v>15</v>
      </c>
      <c r="F6" s="10">
        <v>150</v>
      </c>
      <c r="G6" s="10">
        <v>80</v>
      </c>
      <c r="H6" s="11">
        <f>tblSales[[#This Row],[QtySold]]*tblSales[[#This Row],[UnitPrice]]</f>
        <v>2250</v>
      </c>
      <c r="I6" s="11">
        <f>tblSales[[#This Row],[QtySold]] * tblSales[[#This Row],[CostPerProduct]]</f>
        <v>1200</v>
      </c>
      <c r="J6" s="11">
        <f>tblSales[[#This Row],[Sales]] - tblSales[[#This Row],[Cost]]</f>
        <v>1050</v>
      </c>
      <c r="K6" s="9" t="s">
        <v>15</v>
      </c>
      <c r="L6" s="9" t="s">
        <v>14</v>
      </c>
    </row>
    <row r="7" spans="1:12" x14ac:dyDescent="0.25">
      <c r="A7" s="15">
        <v>45661</v>
      </c>
      <c r="B7" s="9" t="s">
        <v>13</v>
      </c>
      <c r="C7" s="9" t="s">
        <v>12</v>
      </c>
      <c r="D7" s="9" t="s">
        <v>11</v>
      </c>
      <c r="E7" s="18">
        <v>8</v>
      </c>
      <c r="F7" s="10">
        <v>350</v>
      </c>
      <c r="G7" s="10">
        <v>220</v>
      </c>
      <c r="H7" s="11">
        <f>tblSales[[#This Row],[QtySold]]*tblSales[[#This Row],[UnitPrice]]</f>
        <v>2800</v>
      </c>
      <c r="I7" s="11">
        <f>tblSales[[#This Row],[QtySold]] * tblSales[[#This Row],[CostPerProduct]]</f>
        <v>1760</v>
      </c>
      <c r="J7" s="11">
        <f>tblSales[[#This Row],[Sales]] - tblSales[[#This Row],[Cost]]</f>
        <v>1040</v>
      </c>
      <c r="K7" s="9" t="s">
        <v>10</v>
      </c>
      <c r="L7" s="9" t="s">
        <v>0</v>
      </c>
    </row>
    <row r="8" spans="1:12" x14ac:dyDescent="0.25">
      <c r="A8" s="15">
        <v>45662</v>
      </c>
      <c r="B8" s="9" t="s">
        <v>9</v>
      </c>
      <c r="C8" s="9" t="s">
        <v>8</v>
      </c>
      <c r="D8" s="9" t="s">
        <v>7</v>
      </c>
      <c r="E8" s="18">
        <v>12</v>
      </c>
      <c r="F8" s="10">
        <v>200</v>
      </c>
      <c r="G8" s="10">
        <v>120</v>
      </c>
      <c r="H8" s="11">
        <f>tblSales[[#This Row],[QtySold]]*tblSales[[#This Row],[UnitPrice]]</f>
        <v>2400</v>
      </c>
      <c r="I8" s="11">
        <f>tblSales[[#This Row],[QtySold]] * tblSales[[#This Row],[CostPerProduct]]</f>
        <v>1440</v>
      </c>
      <c r="J8" s="11">
        <f>tblSales[[#This Row],[Sales]] - tblSales[[#This Row],[Cost]]</f>
        <v>960</v>
      </c>
      <c r="K8" s="9" t="s">
        <v>6</v>
      </c>
      <c r="L8" s="9" t="s">
        <v>5</v>
      </c>
    </row>
    <row r="9" spans="1:12" x14ac:dyDescent="0.25">
      <c r="A9" s="15">
        <v>45666</v>
      </c>
      <c r="B9" s="9" t="s">
        <v>4</v>
      </c>
      <c r="C9" s="9" t="s">
        <v>3</v>
      </c>
      <c r="D9" s="9" t="s">
        <v>2</v>
      </c>
      <c r="E9" s="18">
        <v>19</v>
      </c>
      <c r="F9" s="10">
        <v>500</v>
      </c>
      <c r="G9" s="10">
        <v>300</v>
      </c>
      <c r="H9" s="11">
        <f>tblSales[[#This Row],[QtySold]]*tblSales[[#This Row],[UnitPrice]]</f>
        <v>9500</v>
      </c>
      <c r="I9" s="11">
        <f>tblSales[[#This Row],[QtySold]] * tblSales[[#This Row],[CostPerProduct]]</f>
        <v>5700</v>
      </c>
      <c r="J9" s="11">
        <f>tblSales[[#This Row],[Sales]] - tblSales[[#This Row],[Cost]]</f>
        <v>3800</v>
      </c>
      <c r="K9" s="9" t="s">
        <v>1</v>
      </c>
      <c r="L9" s="9" t="s">
        <v>0</v>
      </c>
    </row>
    <row r="10" spans="1:12" x14ac:dyDescent="0.25">
      <c r="A10" s="15">
        <v>45667</v>
      </c>
      <c r="B10" s="9" t="s">
        <v>72</v>
      </c>
      <c r="C10" s="9" t="s">
        <v>73</v>
      </c>
      <c r="D10" s="9" t="s">
        <v>2</v>
      </c>
      <c r="E10" s="18">
        <v>20</v>
      </c>
      <c r="F10" s="10">
        <v>500</v>
      </c>
      <c r="G10" s="10">
        <v>300</v>
      </c>
      <c r="H10" s="11">
        <f>tblSales[[#This Row],[QtySold]]*tblSales[[#This Row],[UnitPrice]]</f>
        <v>10000</v>
      </c>
      <c r="I10" s="11">
        <f>tblSales[[#This Row],[QtySold]] * tblSales[[#This Row],[CostPerProduct]]</f>
        <v>6000</v>
      </c>
      <c r="J10" s="11">
        <f>tblSales[[#This Row],[Sales]] - tblSales[[#This Row],[Cost]]</f>
        <v>4000</v>
      </c>
      <c r="K10" s="9" t="s">
        <v>1</v>
      </c>
      <c r="L10" s="9" t="s">
        <v>0</v>
      </c>
    </row>
    <row r="11" spans="1:12" x14ac:dyDescent="0.25">
      <c r="A11" s="15">
        <v>45668</v>
      </c>
      <c r="B11" s="9" t="s">
        <v>78</v>
      </c>
      <c r="C11" s="9" t="s">
        <v>79</v>
      </c>
      <c r="D11" s="9" t="s">
        <v>2</v>
      </c>
      <c r="E11" s="18">
        <v>13</v>
      </c>
      <c r="F11" s="10">
        <v>300</v>
      </c>
      <c r="G11" s="10">
        <v>150</v>
      </c>
      <c r="H11" s="11">
        <f>tblSales[[#This Row],[QtySold]]*tblSales[[#This Row],[UnitPrice]]</f>
        <v>3900</v>
      </c>
      <c r="I11" s="11">
        <f>tblSales[[#This Row],[QtySold]] * tblSales[[#This Row],[CostPerProduct]]</f>
        <v>1950</v>
      </c>
      <c r="J11" s="11">
        <f>tblSales[[#This Row],[Sales]] - tblSales[[#This Row],[Cost]]</f>
        <v>1950</v>
      </c>
      <c r="K11" s="9" t="s">
        <v>1</v>
      </c>
      <c r="L11" s="9" t="s">
        <v>0</v>
      </c>
    </row>
    <row r="12" spans="1:12" x14ac:dyDescent="0.25">
      <c r="A12" s="15">
        <v>45669</v>
      </c>
      <c r="B12" s="9" t="s">
        <v>88</v>
      </c>
      <c r="C12" s="9" t="s">
        <v>89</v>
      </c>
      <c r="D12" s="9" t="s">
        <v>2</v>
      </c>
      <c r="E12" s="18">
        <v>2</v>
      </c>
      <c r="F12" s="10">
        <v>300</v>
      </c>
      <c r="G12" s="10">
        <v>100</v>
      </c>
      <c r="H12" s="11">
        <f>tblSales[[#This Row],[QtySold]]*tblSales[[#This Row],[UnitPrice]]</f>
        <v>600</v>
      </c>
      <c r="I12" s="11">
        <f>tblSales[[#This Row],[QtySold]] * tblSales[[#This Row],[CostPerProduct]]</f>
        <v>200</v>
      </c>
      <c r="J12" s="11">
        <f>tblSales[[#This Row],[Sales]] - tblSales[[#This Row],[Cost]]</f>
        <v>400</v>
      </c>
      <c r="K12" s="9" t="s">
        <v>90</v>
      </c>
      <c r="L12" s="9" t="s">
        <v>0</v>
      </c>
    </row>
    <row r="13" spans="1:12" x14ac:dyDescent="0.25">
      <c r="A13" s="15">
        <v>45670</v>
      </c>
      <c r="B13" s="9"/>
      <c r="C13" s="9"/>
      <c r="D13" s="9"/>
      <c r="E13" s="18"/>
      <c r="F13" s="10"/>
      <c r="G13" s="10"/>
      <c r="H13" s="11">
        <f>tblSales[[#This Row],[QtySold]]*tblSales[[#This Row],[UnitPrice]]</f>
        <v>0</v>
      </c>
      <c r="I13" s="11">
        <f>tblSales[[#This Row],[QtySold]] * tblSales[[#This Row],[CostPerProduct]]</f>
        <v>0</v>
      </c>
      <c r="J13" s="11">
        <f>tblSales[[#This Row],[Sales]] - tblSales[[#This Row],[Cost]]</f>
        <v>0</v>
      </c>
      <c r="K13" s="9"/>
      <c r="L13" s="9"/>
    </row>
    <row r="14" spans="1:12" x14ac:dyDescent="0.25">
      <c r="A14" s="15">
        <v>45671</v>
      </c>
      <c r="B14" s="9"/>
      <c r="C14" s="9"/>
      <c r="D14" s="9"/>
      <c r="E14" s="18"/>
      <c r="F14" s="10"/>
      <c r="G14" s="10"/>
      <c r="H14" s="11">
        <f>tblSales[[#This Row],[QtySold]]*tblSales[[#This Row],[UnitPrice]]</f>
        <v>0</v>
      </c>
      <c r="I14" s="11">
        <f>tblSales[[#This Row],[QtySold]] * tblSales[[#This Row],[CostPerProduct]]</f>
        <v>0</v>
      </c>
      <c r="J14" s="11">
        <f>tblSales[[#This Row],[Sales]] - tblSales[[#This Row],[Cost]]</f>
        <v>0</v>
      </c>
      <c r="K14" s="9"/>
      <c r="L14" s="9"/>
    </row>
    <row r="21" spans="5:5" x14ac:dyDescent="0.25">
      <c r="E21"/>
    </row>
    <row r="22" spans="5:5" x14ac:dyDescent="0.25">
      <c r="E22"/>
    </row>
    <row r="23" spans="5:5" x14ac:dyDescent="0.25">
      <c r="E23"/>
    </row>
    <row r="24" spans="5:5" x14ac:dyDescent="0.25">
      <c r="E24"/>
    </row>
    <row r="25" spans="5:5" x14ac:dyDescent="0.25">
      <c r="E25"/>
    </row>
    <row r="26" spans="5:5" x14ac:dyDescent="0.25">
      <c r="E26"/>
    </row>
    <row r="27" spans="5:5" x14ac:dyDescent="0.25">
      <c r="E27"/>
    </row>
    <row r="28" spans="5:5" x14ac:dyDescent="0.25">
      <c r="E28"/>
    </row>
    <row r="29" spans="5:5" x14ac:dyDescent="0.25">
      <c r="E29"/>
    </row>
    <row r="30" spans="5:5" x14ac:dyDescent="0.25">
      <c r="E30"/>
    </row>
    <row r="31" spans="5:5" x14ac:dyDescent="0.25">
      <c r="E31"/>
    </row>
    <row r="32" spans="5:5" x14ac:dyDescent="0.25">
      <c r="E32"/>
    </row>
    <row r="33" spans="5:5" x14ac:dyDescent="0.25">
      <c r="E33"/>
    </row>
    <row r="34" spans="5:5" x14ac:dyDescent="0.25">
      <c r="E34"/>
    </row>
    <row r="35" spans="5:5" x14ac:dyDescent="0.25">
      <c r="E35"/>
    </row>
    <row r="36" spans="5:5" x14ac:dyDescent="0.25">
      <c r="E36"/>
    </row>
    <row r="37" spans="5:5" x14ac:dyDescent="0.25">
      <c r="E37"/>
    </row>
    <row r="38" spans="5:5" x14ac:dyDescent="0.25">
      <c r="E38"/>
    </row>
  </sheetData>
  <sheetProtection selectLockedCells="1"/>
  <phoneticPr fontId="3" type="noConversion"/>
  <dataValidations count="2">
    <dataValidation type="whole" errorStyle="warning" operator="greaterThan" allowBlank="1" showInputMessage="1" showErrorMessage="1" error="Quantity must be greater than 0" prompt="Enter quantity sold" sqref="E39:E1048576 E1:E20" xr:uid="{C7944D06-85B4-4FD5-A768-485314D2C1DE}">
      <formula1>0</formula1>
    </dataValidation>
    <dataValidation type="decimal" operator="greaterThan" allowBlank="1" showInputMessage="1" showErrorMessage="1" sqref="F41:G1048576 F1:F22 G1:G20" xr:uid="{4FFDC729-4ACC-4404-951F-9A182E64F1C8}">
      <formula1>0</formula1>
    </dataValidation>
  </dataValidations>
  <pageMargins left="0.7" right="0.7" top="0.75" bottom="0.75" header="0.3" footer="0.3"/>
  <pageSetup orientation="portrait" r:id="rId1"/>
  <headerFooter>
    <oddHeader xml:space="preserve">&amp;CAuto-calculated – Do not edit
</oddHeader>
  </headerFooter>
  <tableParts count="1">
    <tablePart r:id="rId2"/>
  </tableParts>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AD42F31-B75C-471E-8A03-D9084293711B}">
  <dimension ref="A1:E31"/>
  <sheetViews>
    <sheetView workbookViewId="0">
      <selection activeCell="C2" sqref="C2"/>
    </sheetView>
  </sheetViews>
  <sheetFormatPr defaultRowHeight="15" x14ac:dyDescent="0.25"/>
  <cols>
    <col min="1" max="1" width="10.42578125" style="13" bestFit="1" customWidth="1"/>
    <col min="2" max="2" width="13.28515625" bestFit="1" customWidth="1"/>
    <col min="3" max="3" width="14.28515625" style="1" bestFit="1" customWidth="1"/>
    <col min="4" max="4" width="20.7109375" style="2" customWidth="1"/>
    <col min="5" max="5" width="24.85546875" style="1" bestFit="1" customWidth="1"/>
    <col min="7" max="7" width="14.28515625" bestFit="1" customWidth="1"/>
    <col min="8" max="8" width="14.85546875" bestFit="1" customWidth="1"/>
  </cols>
  <sheetData>
    <row r="1" spans="1:5" x14ac:dyDescent="0.25">
      <c r="A1" s="14" t="s">
        <v>28</v>
      </c>
      <c r="B1" s="6" t="s">
        <v>39</v>
      </c>
      <c r="C1" s="6" t="s">
        <v>40</v>
      </c>
      <c r="D1" s="7" t="s">
        <v>41</v>
      </c>
      <c r="E1" s="8" t="s">
        <v>42</v>
      </c>
    </row>
    <row r="2" spans="1:5" x14ac:dyDescent="0.25">
      <c r="A2" s="15">
        <v>45658</v>
      </c>
      <c r="B2" s="9" t="s">
        <v>43</v>
      </c>
      <c r="C2" s="9" t="s">
        <v>44</v>
      </c>
      <c r="D2" s="10">
        <v>5000</v>
      </c>
      <c r="E2" s="9" t="s">
        <v>45</v>
      </c>
    </row>
    <row r="3" spans="1:5" x14ac:dyDescent="0.25">
      <c r="A3" s="15">
        <v>45658</v>
      </c>
      <c r="B3" s="9" t="s">
        <v>46</v>
      </c>
      <c r="C3" s="9" t="s">
        <v>47</v>
      </c>
      <c r="D3" s="10">
        <v>50000</v>
      </c>
      <c r="E3" s="9" t="s">
        <v>48</v>
      </c>
    </row>
    <row r="4" spans="1:5" x14ac:dyDescent="0.25">
      <c r="A4" s="15">
        <v>45658</v>
      </c>
      <c r="B4" s="9" t="s">
        <v>49</v>
      </c>
      <c r="C4" s="9" t="s">
        <v>50</v>
      </c>
      <c r="D4" s="10">
        <v>12000</v>
      </c>
      <c r="E4" s="9" t="s">
        <v>51</v>
      </c>
    </row>
    <row r="5" spans="1:5" x14ac:dyDescent="0.25">
      <c r="A5" s="15">
        <v>45659</v>
      </c>
      <c r="B5" s="9" t="s">
        <v>52</v>
      </c>
      <c r="C5" s="9" t="s">
        <v>53</v>
      </c>
      <c r="D5" s="10">
        <v>5000</v>
      </c>
      <c r="E5" s="9" t="s">
        <v>54</v>
      </c>
    </row>
    <row r="6" spans="1:5" x14ac:dyDescent="0.25">
      <c r="A6" s="15">
        <v>45659</v>
      </c>
      <c r="B6" s="9" t="s">
        <v>55</v>
      </c>
      <c r="C6" s="9" t="s">
        <v>56</v>
      </c>
      <c r="D6" s="10">
        <v>30000</v>
      </c>
      <c r="E6" s="9" t="s">
        <v>57</v>
      </c>
    </row>
    <row r="7" spans="1:5" x14ac:dyDescent="0.25">
      <c r="A7" s="15">
        <v>45660</v>
      </c>
      <c r="B7" s="9" t="s">
        <v>58</v>
      </c>
      <c r="C7" s="9" t="s">
        <v>59</v>
      </c>
      <c r="D7" s="10">
        <v>4000</v>
      </c>
      <c r="E7" s="9" t="s">
        <v>60</v>
      </c>
    </row>
    <row r="8" spans="1:5" x14ac:dyDescent="0.25">
      <c r="A8" s="15">
        <v>45661</v>
      </c>
      <c r="B8" s="9" t="s">
        <v>61</v>
      </c>
      <c r="C8" s="9" t="s">
        <v>62</v>
      </c>
      <c r="D8" s="10">
        <v>3500</v>
      </c>
      <c r="E8" s="9" t="s">
        <v>63</v>
      </c>
    </row>
    <row r="9" spans="1:5" x14ac:dyDescent="0.25">
      <c r="A9" s="15">
        <v>45662</v>
      </c>
      <c r="B9" s="9" t="s">
        <v>64</v>
      </c>
      <c r="C9" s="9" t="s">
        <v>65</v>
      </c>
      <c r="D9" s="10">
        <v>2500</v>
      </c>
      <c r="E9" s="9" t="s">
        <v>66</v>
      </c>
    </row>
    <row r="14" spans="1:5" x14ac:dyDescent="0.25">
      <c r="D14"/>
      <c r="E14"/>
    </row>
    <row r="15" spans="1:5" x14ac:dyDescent="0.25">
      <c r="D15"/>
      <c r="E15"/>
    </row>
    <row r="16" spans="1:5" x14ac:dyDescent="0.25">
      <c r="D16"/>
      <c r="E16"/>
    </row>
    <row r="17" spans="4:5" x14ac:dyDescent="0.25">
      <c r="D17"/>
      <c r="E17"/>
    </row>
    <row r="18" spans="4:5" x14ac:dyDescent="0.25">
      <c r="D18"/>
      <c r="E18"/>
    </row>
    <row r="19" spans="4:5" x14ac:dyDescent="0.25">
      <c r="D19"/>
      <c r="E19"/>
    </row>
    <row r="20" spans="4:5" x14ac:dyDescent="0.25">
      <c r="D20"/>
      <c r="E20"/>
    </row>
    <row r="21" spans="4:5" x14ac:dyDescent="0.25">
      <c r="D21"/>
      <c r="E21"/>
    </row>
    <row r="22" spans="4:5" x14ac:dyDescent="0.25">
      <c r="D22"/>
      <c r="E22"/>
    </row>
    <row r="23" spans="4:5" x14ac:dyDescent="0.25">
      <c r="D23"/>
      <c r="E23"/>
    </row>
    <row r="24" spans="4:5" x14ac:dyDescent="0.25">
      <c r="D24"/>
      <c r="E24"/>
    </row>
    <row r="25" spans="4:5" x14ac:dyDescent="0.25">
      <c r="D25"/>
      <c r="E25"/>
    </row>
    <row r="26" spans="4:5" x14ac:dyDescent="0.25">
      <c r="D26"/>
      <c r="E26"/>
    </row>
    <row r="27" spans="4:5" x14ac:dyDescent="0.25">
      <c r="D27"/>
      <c r="E27"/>
    </row>
    <row r="28" spans="4:5" x14ac:dyDescent="0.25">
      <c r="D28"/>
      <c r="E28"/>
    </row>
    <row r="29" spans="4:5" x14ac:dyDescent="0.25">
      <c r="D29"/>
      <c r="E29"/>
    </row>
    <row r="30" spans="4:5" x14ac:dyDescent="0.25">
      <c r="D30"/>
      <c r="E30"/>
    </row>
    <row r="31" spans="4:5" x14ac:dyDescent="0.25">
      <c r="D31"/>
      <c r="E31"/>
    </row>
  </sheetData>
  <sheetProtection selectLockedCells="1"/>
  <dataValidations count="2">
    <dataValidation type="decimal" errorStyle="warning" operator="greaterThan" allowBlank="1" showInputMessage="1" showErrorMessage="1" error="Expense must be greater than 0" prompt="Enter expense amount" sqref="D1:D13 D32:D1048576" xr:uid="{950210E4-C496-410E-A1AE-8053F2E5AE7D}">
      <formula1>0</formula1>
    </dataValidation>
    <dataValidation type="list" allowBlank="1" showInputMessage="1" showErrorMessage="1" sqref="C1:C1048576" xr:uid="{3A09FCBC-8967-43BC-8A25-71495D799608}">
      <formula1>$C$2:$C$9</formula1>
    </dataValidation>
  </dataValidations>
  <pageMargins left="0.7" right="0.7" top="0.75" bottom="0.75" header="0.3" footer="0.3"/>
  <tableParts count="1">
    <tablePart r:id="rId1"/>
  </tableParts>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96E4F75-5A76-47C1-B638-E6A929BD6D0D}">
  <dimension ref="A1:I30"/>
  <sheetViews>
    <sheetView topLeftCell="D1" workbookViewId="0">
      <selection activeCell="G16" sqref="G16"/>
    </sheetView>
  </sheetViews>
  <sheetFormatPr defaultRowHeight="15" x14ac:dyDescent="0.25"/>
  <cols>
    <col min="1" max="1" width="10.42578125" style="13" bestFit="1" customWidth="1"/>
    <col min="2" max="2" width="13.28515625" bestFit="1" customWidth="1"/>
    <col min="3" max="3" width="14.5703125" bestFit="1" customWidth="1"/>
    <col min="4" max="4" width="18" bestFit="1" customWidth="1"/>
    <col min="5" max="5" width="12.28515625" style="19" bestFit="1" customWidth="1"/>
    <col min="6" max="6" width="13.85546875" style="19" bestFit="1" customWidth="1"/>
    <col min="7" max="7" width="17.7109375" style="22" bestFit="1" customWidth="1"/>
    <col min="8" max="8" width="17.85546875" style="19" bestFit="1" customWidth="1"/>
    <col min="9" max="9" width="16.7109375" bestFit="1" customWidth="1"/>
    <col min="11" max="11" width="13.42578125" bestFit="1" customWidth="1"/>
    <col min="12" max="12" width="20" bestFit="1" customWidth="1"/>
  </cols>
  <sheetData>
    <row r="1" spans="1:9" x14ac:dyDescent="0.25">
      <c r="A1" s="12" t="s">
        <v>28</v>
      </c>
      <c r="B1" s="3" t="s">
        <v>39</v>
      </c>
      <c r="C1" s="3" t="s">
        <v>30</v>
      </c>
      <c r="D1" s="3" t="s">
        <v>31</v>
      </c>
      <c r="E1" s="20" t="s">
        <v>67</v>
      </c>
      <c r="F1" s="20" t="s">
        <v>68</v>
      </c>
      <c r="G1" s="21" t="s">
        <v>69</v>
      </c>
      <c r="H1" s="23" t="s">
        <v>70</v>
      </c>
      <c r="I1" s="28" t="s">
        <v>74</v>
      </c>
    </row>
    <row r="2" spans="1:9" x14ac:dyDescent="0.25">
      <c r="A2" s="13">
        <v>45658</v>
      </c>
      <c r="B2" s="1" t="s">
        <v>43</v>
      </c>
      <c r="C2" s="1" t="s">
        <v>26</v>
      </c>
      <c r="D2" s="1" t="s">
        <v>16</v>
      </c>
      <c r="E2" s="19">
        <v>100</v>
      </c>
      <c r="F2" s="19">
        <v>10</v>
      </c>
      <c r="G2" s="22">
        <f>tblInventory[[#This Row],[StockIn]]-tblInventory[[#This Row],[StockOut]]</f>
        <v>90</v>
      </c>
      <c r="H2" s="24">
        <v>20</v>
      </c>
      <c r="I2" t="str">
        <f>IF(tblInventory[[#This Row],[StockBalance]]&lt;tblInventory[[#This Row],[ReorderLevel]],"Low Stock", "OK")</f>
        <v>OK</v>
      </c>
    </row>
    <row r="3" spans="1:9" x14ac:dyDescent="0.25">
      <c r="A3" s="13">
        <v>45658</v>
      </c>
      <c r="B3" s="1" t="s">
        <v>46</v>
      </c>
      <c r="C3" s="1" t="s">
        <v>24</v>
      </c>
      <c r="D3" s="1" t="s">
        <v>7</v>
      </c>
      <c r="E3" s="19">
        <v>50</v>
      </c>
      <c r="F3" s="19">
        <v>5</v>
      </c>
      <c r="G3" s="22">
        <f>tblInventory[[#This Row],[StockIn]]-tblInventory[[#This Row],[StockOut]]</f>
        <v>45</v>
      </c>
      <c r="H3" s="24">
        <v>10</v>
      </c>
      <c r="I3" t="str">
        <f>IF(tblInventory[[#This Row],[StockBalance]]&lt;tblInventory[[#This Row],[ReorderLevel]],"Low Stock", "OK")</f>
        <v>OK</v>
      </c>
    </row>
    <row r="4" spans="1:9" x14ac:dyDescent="0.25">
      <c r="A4" s="13">
        <v>45658</v>
      </c>
      <c r="B4" s="1" t="s">
        <v>49</v>
      </c>
      <c r="C4" s="1" t="s">
        <v>22</v>
      </c>
      <c r="D4" s="1" t="s">
        <v>11</v>
      </c>
      <c r="E4" s="19">
        <v>80</v>
      </c>
      <c r="F4" s="19">
        <v>25</v>
      </c>
      <c r="G4" s="22">
        <f>tblInventory[[#This Row],[StockIn]]-tblInventory[[#This Row],[StockOut]]</f>
        <v>55</v>
      </c>
      <c r="H4" s="24">
        <v>20</v>
      </c>
      <c r="I4" t="str">
        <f>IF(tblInventory[[#This Row],[StockBalance]]&lt;tblInventory[[#This Row],[ReorderLevel]],"Low Stock", "OK")</f>
        <v>OK</v>
      </c>
    </row>
    <row r="5" spans="1:9" x14ac:dyDescent="0.25">
      <c r="A5" s="13">
        <v>45659</v>
      </c>
      <c r="B5" s="1" t="s">
        <v>52</v>
      </c>
      <c r="C5" s="1" t="s">
        <v>26</v>
      </c>
      <c r="D5" s="1" t="s">
        <v>16</v>
      </c>
      <c r="E5" s="19">
        <v>100</v>
      </c>
      <c r="F5" s="19">
        <v>60</v>
      </c>
      <c r="G5" s="22">
        <f>tblInventory[[#This Row],[StockIn]]-tblInventory[[#This Row],[StockOut]]</f>
        <v>40</v>
      </c>
      <c r="H5" s="24">
        <v>50</v>
      </c>
      <c r="I5" t="str">
        <f>IF(tblInventory[[#This Row],[StockBalance]]&lt;tblInventory[[#This Row],[ReorderLevel]],"Low Stock", "OK")</f>
        <v>Low Stock</v>
      </c>
    </row>
    <row r="6" spans="1:9" x14ac:dyDescent="0.25">
      <c r="A6" s="13">
        <v>45659</v>
      </c>
      <c r="B6" s="1" t="s">
        <v>55</v>
      </c>
      <c r="C6" s="1" t="s">
        <v>24</v>
      </c>
      <c r="D6" s="1" t="s">
        <v>7</v>
      </c>
      <c r="E6" s="19">
        <v>90</v>
      </c>
      <c r="F6" s="19">
        <v>40</v>
      </c>
      <c r="G6" s="22">
        <f>tblInventory[[#This Row],[StockIn]]-tblInventory[[#This Row],[StockOut]]</f>
        <v>50</v>
      </c>
      <c r="H6" s="24">
        <v>30</v>
      </c>
      <c r="I6" t="str">
        <f>IF(tblInventory[[#This Row],[StockBalance]]&lt;tblInventory[[#This Row],[ReorderLevel]],"Low Stock", "OK")</f>
        <v>OK</v>
      </c>
    </row>
    <row r="7" spans="1:9" x14ac:dyDescent="0.25">
      <c r="A7" s="13">
        <v>45659</v>
      </c>
      <c r="B7" s="1" t="s">
        <v>58</v>
      </c>
      <c r="C7" s="1" t="s">
        <v>22</v>
      </c>
      <c r="D7" s="1" t="s">
        <v>11</v>
      </c>
      <c r="E7" s="19">
        <v>78</v>
      </c>
      <c r="F7" s="19">
        <v>35</v>
      </c>
      <c r="G7" s="22">
        <f>tblInventory[[#This Row],[StockIn]]-tblInventory[[#This Row],[StockOut]]</f>
        <v>43</v>
      </c>
      <c r="H7" s="24">
        <v>20</v>
      </c>
      <c r="I7" t="str">
        <f>IF(tblInventory[[#This Row],[StockBalance]]&lt;tblInventory[[#This Row],[ReorderLevel]],"Low Stock", "OK")</f>
        <v>OK</v>
      </c>
    </row>
    <row r="8" spans="1:9" x14ac:dyDescent="0.25">
      <c r="A8" s="13">
        <v>45660</v>
      </c>
      <c r="B8" s="1" t="s">
        <v>61</v>
      </c>
      <c r="C8" s="1" t="s">
        <v>20</v>
      </c>
      <c r="D8" s="1" t="s">
        <v>11</v>
      </c>
      <c r="E8" s="19">
        <v>50</v>
      </c>
      <c r="F8" s="19">
        <v>45</v>
      </c>
      <c r="G8" s="22">
        <f>tblInventory[[#This Row],[StockIn]]-tblInventory[[#This Row],[StockOut]]</f>
        <v>5</v>
      </c>
      <c r="H8" s="24">
        <v>23</v>
      </c>
      <c r="I8" t="str">
        <f>IF(tblInventory[[#This Row],[StockBalance]]&lt;tblInventory[[#This Row],[ReorderLevel]],"Low Stock", "OK")</f>
        <v>Low Stock</v>
      </c>
    </row>
    <row r="9" spans="1:9" x14ac:dyDescent="0.25">
      <c r="B9" s="1" t="s">
        <v>64</v>
      </c>
      <c r="C9" s="1"/>
      <c r="D9" s="1"/>
      <c r="G9" s="22">
        <f>tblInventory[[#This Row],[StockIn]]-tblInventory[[#This Row],[StockOut]]</f>
        <v>0</v>
      </c>
      <c r="H9" s="24"/>
      <c r="I9" t="str">
        <f>IF(tblInventory[[#This Row],[StockBalance]]&lt;tblInventory[[#This Row],[ReorderLevel]],"Low Stock", "OK")</f>
        <v>OK</v>
      </c>
    </row>
    <row r="13" spans="1:9" x14ac:dyDescent="0.25">
      <c r="E13"/>
      <c r="F13"/>
    </row>
    <row r="14" spans="1:9" x14ac:dyDescent="0.25">
      <c r="E14"/>
      <c r="F14"/>
    </row>
    <row r="15" spans="1:9" x14ac:dyDescent="0.25">
      <c r="E15"/>
      <c r="F15"/>
    </row>
    <row r="16" spans="1:9" x14ac:dyDescent="0.25">
      <c r="E16"/>
      <c r="F16"/>
    </row>
    <row r="17" spans="5:6" x14ac:dyDescent="0.25">
      <c r="E17"/>
      <c r="F17"/>
    </row>
    <row r="18" spans="5:6" x14ac:dyDescent="0.25">
      <c r="E18"/>
      <c r="F18"/>
    </row>
    <row r="19" spans="5:6" x14ac:dyDescent="0.25">
      <c r="E19"/>
      <c r="F19"/>
    </row>
    <row r="20" spans="5:6" x14ac:dyDescent="0.25">
      <c r="E20"/>
      <c r="F20"/>
    </row>
    <row r="21" spans="5:6" x14ac:dyDescent="0.25">
      <c r="E21"/>
      <c r="F21"/>
    </row>
    <row r="22" spans="5:6" x14ac:dyDescent="0.25">
      <c r="E22"/>
      <c r="F22"/>
    </row>
    <row r="23" spans="5:6" x14ac:dyDescent="0.25">
      <c r="E23"/>
      <c r="F23"/>
    </row>
    <row r="24" spans="5:6" x14ac:dyDescent="0.25">
      <c r="E24"/>
      <c r="F24"/>
    </row>
    <row r="25" spans="5:6" x14ac:dyDescent="0.25">
      <c r="E25"/>
      <c r="F25"/>
    </row>
    <row r="26" spans="5:6" x14ac:dyDescent="0.25">
      <c r="E26"/>
      <c r="F26"/>
    </row>
    <row r="27" spans="5:6" x14ac:dyDescent="0.25">
      <c r="E27"/>
      <c r="F27"/>
    </row>
    <row r="28" spans="5:6" x14ac:dyDescent="0.25">
      <c r="E28"/>
      <c r="F28"/>
    </row>
    <row r="29" spans="5:6" x14ac:dyDescent="0.25">
      <c r="E29"/>
      <c r="F29"/>
    </row>
    <row r="30" spans="5:6" x14ac:dyDescent="0.25">
      <c r="E30"/>
      <c r="F30"/>
    </row>
  </sheetData>
  <phoneticPr fontId="3" type="noConversion"/>
  <conditionalFormatting sqref="G1">
    <cfRule type="expression" dxfId="2" priority="6">
      <formula>$G$2:$G$9&lt;$H$2:$H$9</formula>
    </cfRule>
  </conditionalFormatting>
  <conditionalFormatting sqref="G2:G9">
    <cfRule type="expression" dxfId="1" priority="2">
      <formula>$G$2:$G$9&lt;$H$2:$H$9</formula>
    </cfRule>
  </conditionalFormatting>
  <conditionalFormatting sqref="G10:G1048576">
    <cfRule type="expression" dxfId="0" priority="5">
      <formula>$G$2:$G$9&lt;$H$2:$H$9</formula>
    </cfRule>
  </conditionalFormatting>
  <dataValidations count="2">
    <dataValidation type="whole" errorStyle="warning" operator="greaterThan" allowBlank="1" showInputMessage="1" showErrorMessage="1" error="Stock value cannot be negative" sqref="E1:F12 E31:F1048576" xr:uid="{CCADC74B-ADBF-45CF-9182-281158B00808}">
      <formula1>0</formula1>
    </dataValidation>
    <dataValidation type="whole" operator="greaterThan" allowBlank="1" showInputMessage="1" showErrorMessage="1" prompt="Minimum stock before restocking" sqref="H1:H1048576" xr:uid="{AE8B7C63-B3EE-41DA-A1FC-3B873CBC5DF3}">
      <formula1>1</formula1>
    </dataValidation>
  </dataValidations>
  <pageMargins left="0.7" right="0.7" top="0.75" bottom="0.75" header="0.3" footer="0.3"/>
  <tableParts count="1">
    <tablePart r:id="rId1"/>
  </tableParts>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932A180-D51E-4FCD-B443-25ABE4030F0D}">
  <dimension ref="A1:J25"/>
  <sheetViews>
    <sheetView showGridLines="0" workbookViewId="0">
      <selection activeCell="J2" sqref="J2"/>
    </sheetView>
  </sheetViews>
  <sheetFormatPr defaultRowHeight="15" x14ac:dyDescent="0.25"/>
  <cols>
    <col min="1" max="10" width="18.7109375" style="25" customWidth="1"/>
  </cols>
  <sheetData>
    <row r="1" spans="1:10" ht="27.95" customHeight="1" x14ac:dyDescent="0.25">
      <c r="A1" s="26"/>
      <c r="B1" s="26"/>
      <c r="C1" s="26"/>
      <c r="D1" s="26"/>
      <c r="E1" s="26"/>
      <c r="F1" s="26"/>
      <c r="G1" s="26"/>
      <c r="H1" s="26"/>
      <c r="I1" s="26"/>
      <c r="J1" s="26"/>
    </row>
    <row r="2" spans="1:10" ht="27.95" customHeight="1" x14ac:dyDescent="3.5">
      <c r="A2" s="26"/>
      <c r="B2" s="26"/>
      <c r="C2" s="38"/>
      <c r="D2" s="26"/>
      <c r="E2" s="26"/>
      <c r="F2" s="26"/>
      <c r="G2" s="26"/>
      <c r="H2" s="26"/>
      <c r="I2" s="26"/>
      <c r="J2" s="26"/>
    </row>
    <row r="3" spans="1:10" ht="27.95" customHeight="1" x14ac:dyDescent="0.25">
      <c r="A3" s="26"/>
      <c r="B3" s="26"/>
      <c r="C3" s="26"/>
      <c r="D3" s="26"/>
      <c r="E3" s="26"/>
      <c r="F3" s="26"/>
      <c r="G3" s="26"/>
      <c r="H3" s="26"/>
      <c r="I3" s="26"/>
      <c r="J3" s="26"/>
    </row>
    <row r="4" spans="1:10" ht="27.95" customHeight="1" x14ac:dyDescent="0.25">
      <c r="A4" s="26"/>
      <c r="B4" s="26"/>
      <c r="C4" s="26"/>
      <c r="D4" s="26"/>
      <c r="E4" s="26"/>
      <c r="F4" s="26"/>
      <c r="G4" s="26"/>
      <c r="H4" s="26"/>
      <c r="I4" s="26"/>
      <c r="J4" s="26"/>
    </row>
    <row r="5" spans="1:10" ht="27.95" customHeight="1" x14ac:dyDescent="0.25">
      <c r="A5" s="26"/>
      <c r="B5" s="26"/>
      <c r="C5" s="26"/>
      <c r="D5" s="26"/>
      <c r="E5" s="26"/>
      <c r="F5" s="26"/>
      <c r="G5" s="26"/>
      <c r="H5" s="26"/>
      <c r="I5" s="26"/>
      <c r="J5" s="26"/>
    </row>
    <row r="6" spans="1:10" ht="27.95" customHeight="1" x14ac:dyDescent="0.25">
      <c r="A6" s="26"/>
      <c r="B6" s="26"/>
      <c r="C6" s="26"/>
      <c r="D6" s="26"/>
      <c r="E6" s="26"/>
      <c r="F6" s="26"/>
      <c r="G6" s="26"/>
      <c r="H6" s="26"/>
      <c r="I6" s="26"/>
      <c r="J6" s="26"/>
    </row>
    <row r="7" spans="1:10" ht="27.95" customHeight="1" x14ac:dyDescent="0.25">
      <c r="A7" s="26"/>
      <c r="B7" s="26"/>
      <c r="C7" s="26"/>
      <c r="D7" s="26"/>
      <c r="E7" s="26"/>
      <c r="F7" s="26"/>
      <c r="G7" s="26"/>
      <c r="H7" s="26"/>
      <c r="I7" s="26"/>
      <c r="J7" s="26"/>
    </row>
    <row r="8" spans="1:10" ht="27.95" customHeight="1" x14ac:dyDescent="0.25">
      <c r="A8" s="26"/>
      <c r="B8" s="26"/>
      <c r="C8" s="26"/>
      <c r="D8" s="26"/>
      <c r="E8" s="26"/>
      <c r="F8" s="26"/>
      <c r="G8" s="26"/>
      <c r="H8" s="26"/>
      <c r="I8" s="26"/>
      <c r="J8" s="26"/>
    </row>
    <row r="9" spans="1:10" ht="27.95" customHeight="1" x14ac:dyDescent="0.25">
      <c r="A9" s="26"/>
      <c r="B9" s="26"/>
      <c r="C9" s="26"/>
      <c r="D9" s="26"/>
      <c r="E9" s="26"/>
      <c r="F9" s="26"/>
      <c r="G9" s="26"/>
      <c r="H9" s="26"/>
      <c r="I9" s="26"/>
      <c r="J9" s="26"/>
    </row>
    <row r="10" spans="1:10" ht="27.95" customHeight="1" x14ac:dyDescent="0.25">
      <c r="A10" s="26"/>
      <c r="B10" s="26"/>
      <c r="C10" s="26"/>
      <c r="D10" s="26"/>
      <c r="E10" s="26"/>
      <c r="F10" s="26"/>
      <c r="G10" s="26"/>
      <c r="H10" s="26"/>
      <c r="I10" s="26"/>
      <c r="J10" s="26"/>
    </row>
    <row r="11" spans="1:10" ht="27.95" customHeight="1" x14ac:dyDescent="0.25">
      <c r="A11" s="26"/>
      <c r="B11" s="26"/>
      <c r="C11" s="26"/>
      <c r="D11" s="26"/>
      <c r="E11" s="26"/>
      <c r="F11" s="26"/>
      <c r="G11" s="26"/>
      <c r="H11" s="26"/>
      <c r="I11" s="26"/>
      <c r="J11" s="26"/>
    </row>
    <row r="12" spans="1:10" ht="27.95" customHeight="1" x14ac:dyDescent="0.25">
      <c r="A12" s="26"/>
      <c r="B12" s="26"/>
      <c r="C12" s="26"/>
      <c r="D12" s="26"/>
      <c r="E12" s="26"/>
      <c r="F12" s="26"/>
      <c r="G12" s="26"/>
      <c r="H12" s="26"/>
      <c r="I12" s="26"/>
      <c r="J12" s="26"/>
    </row>
    <row r="13" spans="1:10" ht="27.95" customHeight="1" x14ac:dyDescent="0.25">
      <c r="A13" s="26"/>
      <c r="B13" s="26"/>
      <c r="C13" s="26"/>
      <c r="D13" s="26"/>
      <c r="E13" s="26"/>
      <c r="F13" s="26"/>
      <c r="G13" s="26"/>
      <c r="H13" s="26"/>
      <c r="I13" s="26"/>
      <c r="J13" s="26"/>
    </row>
    <row r="14" spans="1:10" ht="27.95" customHeight="1" x14ac:dyDescent="0.25">
      <c r="A14" s="26"/>
      <c r="B14" s="26"/>
      <c r="C14" s="26"/>
      <c r="D14" s="26"/>
      <c r="E14" s="26"/>
      <c r="F14" s="26"/>
      <c r="G14" s="26"/>
      <c r="H14" s="26"/>
      <c r="I14" s="26"/>
      <c r="J14" s="26"/>
    </row>
    <row r="15" spans="1:10" ht="27.95" customHeight="1" x14ac:dyDescent="0.25">
      <c r="A15" s="26"/>
      <c r="B15" s="26"/>
      <c r="C15" s="26"/>
      <c r="D15" s="26"/>
      <c r="E15" s="26"/>
      <c r="F15" s="26"/>
      <c r="G15" s="26"/>
      <c r="H15" s="26"/>
      <c r="I15" s="26"/>
      <c r="J15" s="26"/>
    </row>
    <row r="16" spans="1:10" ht="15.75" x14ac:dyDescent="0.25">
      <c r="H16" s="31"/>
    </row>
    <row r="18" spans="3:7" x14ac:dyDescent="0.25">
      <c r="E18" s="27"/>
      <c r="F18" s="29"/>
    </row>
    <row r="20" spans="3:7" x14ac:dyDescent="0.25">
      <c r="E20" s="29"/>
      <c r="F20" s="30"/>
      <c r="G20" s="29"/>
    </row>
    <row r="21" spans="3:7" x14ac:dyDescent="0.25">
      <c r="C21" s="29">
        <f>GETPIVOTDATA("[Measures].[Sum of Sales]",_Backend_Pivots!$A$8)</f>
        <v>38950</v>
      </c>
      <c r="D21" s="39">
        <f>GETPIVOTDATA("[Measures].[Sum of Amount]",_Backend_Pivots!$C$8)</f>
        <v>112000</v>
      </c>
      <c r="E21" s="29">
        <f>D23-D21</f>
        <v>-95500</v>
      </c>
    </row>
    <row r="23" spans="3:7" x14ac:dyDescent="0.25">
      <c r="D23" s="29">
        <f>GETPIVOTDATA("[Measures].[Sum of Profit]",_Backend_Pivots!$E$8)</f>
        <v>16500</v>
      </c>
    </row>
    <row r="25" spans="3:7" x14ac:dyDescent="0.25">
      <c r="E25" s="25">
        <f>GETPIVOTDATA("[Measures].[Count of StockBalance]",_Backend_Pivots!$K$19)</f>
        <v>2</v>
      </c>
    </row>
  </sheetData>
  <pageMargins left="0.7" right="0.7" top="0.75" bottom="0.75" header="0.3" footer="0.3"/>
  <drawing r:id="rId1"/>
  <extLst>
    <ext xmlns:x14="http://schemas.microsoft.com/office/spreadsheetml/2009/9/main" uri="{A8765BA9-456A-4dab-B4F3-ACF838C121DE}">
      <x14:slicerList>
        <x14:slicer r:id="rId2"/>
      </x14:slicerList>
    </ext>
  </extLst>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17D1BA2-E12B-4E3B-AFA7-C37F09B973F5}">
  <dimension ref="A1:E442"/>
  <sheetViews>
    <sheetView topLeftCell="A4" workbookViewId="0">
      <selection activeCell="G4" sqref="G4:I9"/>
    </sheetView>
  </sheetViews>
  <sheetFormatPr defaultRowHeight="15" x14ac:dyDescent="0.25"/>
  <cols>
    <col min="1" max="1" width="16.140625" customWidth="1"/>
    <col min="4" max="4" width="11.85546875" customWidth="1"/>
    <col min="7" max="7" width="13.42578125" bestFit="1" customWidth="1"/>
    <col min="8" max="8" width="19.5703125" bestFit="1" customWidth="1"/>
    <col min="9" max="9" width="19.7109375" bestFit="1" customWidth="1"/>
    <col min="10" max="10" width="12.7109375" bestFit="1" customWidth="1"/>
    <col min="12" max="12" width="13.42578125" bestFit="1" customWidth="1"/>
    <col min="13" max="13" width="12.7109375" bestFit="1" customWidth="1"/>
    <col min="15" max="16" width="13.42578125" bestFit="1" customWidth="1"/>
    <col min="17" max="17" width="14.85546875" bestFit="1" customWidth="1"/>
    <col min="21" max="21" width="13.42578125" bestFit="1" customWidth="1"/>
    <col min="22" max="22" width="20" bestFit="1" customWidth="1"/>
    <col min="23" max="23" width="20.140625" bestFit="1" customWidth="1"/>
  </cols>
  <sheetData>
    <row r="1" spans="1:5" x14ac:dyDescent="0.25">
      <c r="A1" s="36" t="s">
        <v>28</v>
      </c>
      <c r="B1" t="s">
        <v>84</v>
      </c>
      <c r="C1" t="s">
        <v>85</v>
      </c>
      <c r="D1" t="s">
        <v>86</v>
      </c>
      <c r="E1" t="s">
        <v>87</v>
      </c>
    </row>
    <row r="2" spans="1:5" x14ac:dyDescent="0.25">
      <c r="A2" s="35">
        <v>45658</v>
      </c>
      <c r="B2">
        <f>YEAR(A2)</f>
        <v>2025</v>
      </c>
      <c r="C2" t="str">
        <f>TEXT(A2,"mmm")</f>
        <v>Jan</v>
      </c>
      <c r="D2">
        <f>MONTH(A2)</f>
        <v>1</v>
      </c>
      <c r="E2">
        <f>DAY(A2)</f>
        <v>1</v>
      </c>
    </row>
    <row r="3" spans="1:5" x14ac:dyDescent="0.25">
      <c r="A3" s="13">
        <f>A2+1</f>
        <v>45659</v>
      </c>
      <c r="B3">
        <f t="shared" ref="B3:B66" si="0">YEAR(A3)</f>
        <v>2025</v>
      </c>
      <c r="C3" t="str">
        <f t="shared" ref="C3:C66" si="1">TEXT(A3,"mmm")</f>
        <v>Jan</v>
      </c>
      <c r="D3">
        <f t="shared" ref="D3:D66" si="2">MONTH(A3)</f>
        <v>1</v>
      </c>
      <c r="E3">
        <f t="shared" ref="E3:E66" si="3">DAY(A3)</f>
        <v>2</v>
      </c>
    </row>
    <row r="4" spans="1:5" x14ac:dyDescent="0.25">
      <c r="A4" s="13">
        <f t="shared" ref="A4:A67" si="4">A3+1</f>
        <v>45660</v>
      </c>
      <c r="B4">
        <f t="shared" si="0"/>
        <v>2025</v>
      </c>
      <c r="C4" t="str">
        <f t="shared" si="1"/>
        <v>Jan</v>
      </c>
      <c r="D4">
        <f t="shared" si="2"/>
        <v>1</v>
      </c>
      <c r="E4">
        <f t="shared" si="3"/>
        <v>3</v>
      </c>
    </row>
    <row r="5" spans="1:5" x14ac:dyDescent="0.25">
      <c r="A5" s="13">
        <f t="shared" si="4"/>
        <v>45661</v>
      </c>
      <c r="B5">
        <f t="shared" si="0"/>
        <v>2025</v>
      </c>
      <c r="C5" t="str">
        <f t="shared" si="1"/>
        <v>Jan</v>
      </c>
      <c r="D5">
        <f t="shared" si="2"/>
        <v>1</v>
      </c>
      <c r="E5">
        <f t="shared" si="3"/>
        <v>4</v>
      </c>
    </row>
    <row r="6" spans="1:5" x14ac:dyDescent="0.25">
      <c r="A6" s="13">
        <f t="shared" si="4"/>
        <v>45662</v>
      </c>
      <c r="B6">
        <f t="shared" si="0"/>
        <v>2025</v>
      </c>
      <c r="C6" t="str">
        <f t="shared" si="1"/>
        <v>Jan</v>
      </c>
      <c r="D6">
        <f t="shared" si="2"/>
        <v>1</v>
      </c>
      <c r="E6">
        <f t="shared" si="3"/>
        <v>5</v>
      </c>
    </row>
    <row r="7" spans="1:5" x14ac:dyDescent="0.25">
      <c r="A7" s="13">
        <f t="shared" si="4"/>
        <v>45663</v>
      </c>
      <c r="B7">
        <f t="shared" si="0"/>
        <v>2025</v>
      </c>
      <c r="C7" t="str">
        <f t="shared" si="1"/>
        <v>Jan</v>
      </c>
      <c r="D7">
        <f t="shared" si="2"/>
        <v>1</v>
      </c>
      <c r="E7">
        <f t="shared" si="3"/>
        <v>6</v>
      </c>
    </row>
    <row r="8" spans="1:5" x14ac:dyDescent="0.25">
      <c r="A8" s="13">
        <f t="shared" si="4"/>
        <v>45664</v>
      </c>
      <c r="B8">
        <f t="shared" si="0"/>
        <v>2025</v>
      </c>
      <c r="C8" t="str">
        <f t="shared" si="1"/>
        <v>Jan</v>
      </c>
      <c r="D8">
        <f t="shared" si="2"/>
        <v>1</v>
      </c>
      <c r="E8">
        <f t="shared" si="3"/>
        <v>7</v>
      </c>
    </row>
    <row r="9" spans="1:5" x14ac:dyDescent="0.25">
      <c r="A9" s="13">
        <f t="shared" si="4"/>
        <v>45665</v>
      </c>
      <c r="B9">
        <f t="shared" si="0"/>
        <v>2025</v>
      </c>
      <c r="C9" t="str">
        <f t="shared" si="1"/>
        <v>Jan</v>
      </c>
      <c r="D9">
        <f t="shared" si="2"/>
        <v>1</v>
      </c>
      <c r="E9">
        <f t="shared" si="3"/>
        <v>8</v>
      </c>
    </row>
    <row r="10" spans="1:5" x14ac:dyDescent="0.25">
      <c r="A10" s="13">
        <f t="shared" si="4"/>
        <v>45666</v>
      </c>
      <c r="B10">
        <f t="shared" si="0"/>
        <v>2025</v>
      </c>
      <c r="C10" t="str">
        <f t="shared" si="1"/>
        <v>Jan</v>
      </c>
      <c r="D10">
        <f t="shared" si="2"/>
        <v>1</v>
      </c>
      <c r="E10">
        <f t="shared" si="3"/>
        <v>9</v>
      </c>
    </row>
    <row r="11" spans="1:5" x14ac:dyDescent="0.25">
      <c r="A11" s="13">
        <f t="shared" si="4"/>
        <v>45667</v>
      </c>
      <c r="B11">
        <f t="shared" si="0"/>
        <v>2025</v>
      </c>
      <c r="C11" t="str">
        <f t="shared" si="1"/>
        <v>Jan</v>
      </c>
      <c r="D11">
        <f t="shared" si="2"/>
        <v>1</v>
      </c>
      <c r="E11">
        <f t="shared" si="3"/>
        <v>10</v>
      </c>
    </row>
    <row r="12" spans="1:5" x14ac:dyDescent="0.25">
      <c r="A12" s="13">
        <f t="shared" si="4"/>
        <v>45668</v>
      </c>
      <c r="B12">
        <f t="shared" si="0"/>
        <v>2025</v>
      </c>
      <c r="C12" t="str">
        <f t="shared" si="1"/>
        <v>Jan</v>
      </c>
      <c r="D12">
        <f t="shared" si="2"/>
        <v>1</v>
      </c>
      <c r="E12">
        <f t="shared" si="3"/>
        <v>11</v>
      </c>
    </row>
    <row r="13" spans="1:5" x14ac:dyDescent="0.25">
      <c r="A13" s="13">
        <f t="shared" si="4"/>
        <v>45669</v>
      </c>
      <c r="B13">
        <f t="shared" si="0"/>
        <v>2025</v>
      </c>
      <c r="C13" t="str">
        <f t="shared" si="1"/>
        <v>Jan</v>
      </c>
      <c r="D13">
        <f t="shared" si="2"/>
        <v>1</v>
      </c>
      <c r="E13">
        <f t="shared" si="3"/>
        <v>12</v>
      </c>
    </row>
    <row r="14" spans="1:5" x14ac:dyDescent="0.25">
      <c r="A14" s="13">
        <f t="shared" si="4"/>
        <v>45670</v>
      </c>
      <c r="B14">
        <f t="shared" si="0"/>
        <v>2025</v>
      </c>
      <c r="C14" t="str">
        <f t="shared" si="1"/>
        <v>Jan</v>
      </c>
      <c r="D14">
        <f t="shared" si="2"/>
        <v>1</v>
      </c>
      <c r="E14">
        <f t="shared" si="3"/>
        <v>13</v>
      </c>
    </row>
    <row r="15" spans="1:5" x14ac:dyDescent="0.25">
      <c r="A15" s="13">
        <f t="shared" si="4"/>
        <v>45671</v>
      </c>
      <c r="B15">
        <f t="shared" si="0"/>
        <v>2025</v>
      </c>
      <c r="C15" t="str">
        <f t="shared" si="1"/>
        <v>Jan</v>
      </c>
      <c r="D15">
        <f t="shared" si="2"/>
        <v>1</v>
      </c>
      <c r="E15">
        <f t="shared" si="3"/>
        <v>14</v>
      </c>
    </row>
    <row r="16" spans="1:5" x14ac:dyDescent="0.25">
      <c r="A16" s="13">
        <f t="shared" si="4"/>
        <v>45672</v>
      </c>
      <c r="B16">
        <f t="shared" si="0"/>
        <v>2025</v>
      </c>
      <c r="C16" t="str">
        <f t="shared" si="1"/>
        <v>Jan</v>
      </c>
      <c r="D16">
        <f t="shared" si="2"/>
        <v>1</v>
      </c>
      <c r="E16">
        <f t="shared" si="3"/>
        <v>15</v>
      </c>
    </row>
    <row r="17" spans="1:5" x14ac:dyDescent="0.25">
      <c r="A17" s="13">
        <f t="shared" si="4"/>
        <v>45673</v>
      </c>
      <c r="B17">
        <f t="shared" si="0"/>
        <v>2025</v>
      </c>
      <c r="C17" t="str">
        <f t="shared" si="1"/>
        <v>Jan</v>
      </c>
      <c r="D17">
        <f t="shared" si="2"/>
        <v>1</v>
      </c>
      <c r="E17">
        <f t="shared" si="3"/>
        <v>16</v>
      </c>
    </row>
    <row r="18" spans="1:5" x14ac:dyDescent="0.25">
      <c r="A18" s="13">
        <f t="shared" si="4"/>
        <v>45674</v>
      </c>
      <c r="B18">
        <f t="shared" si="0"/>
        <v>2025</v>
      </c>
      <c r="C18" t="str">
        <f t="shared" si="1"/>
        <v>Jan</v>
      </c>
      <c r="D18">
        <f t="shared" si="2"/>
        <v>1</v>
      </c>
      <c r="E18">
        <f t="shared" si="3"/>
        <v>17</v>
      </c>
    </row>
    <row r="19" spans="1:5" x14ac:dyDescent="0.25">
      <c r="A19" s="13">
        <f t="shared" si="4"/>
        <v>45675</v>
      </c>
      <c r="B19">
        <f t="shared" si="0"/>
        <v>2025</v>
      </c>
      <c r="C19" t="str">
        <f t="shared" si="1"/>
        <v>Jan</v>
      </c>
      <c r="D19">
        <f t="shared" si="2"/>
        <v>1</v>
      </c>
      <c r="E19">
        <f t="shared" si="3"/>
        <v>18</v>
      </c>
    </row>
    <row r="20" spans="1:5" x14ac:dyDescent="0.25">
      <c r="A20" s="13">
        <f t="shared" si="4"/>
        <v>45676</v>
      </c>
      <c r="B20">
        <f t="shared" si="0"/>
        <v>2025</v>
      </c>
      <c r="C20" t="str">
        <f t="shared" si="1"/>
        <v>Jan</v>
      </c>
      <c r="D20">
        <f t="shared" si="2"/>
        <v>1</v>
      </c>
      <c r="E20">
        <f t="shared" si="3"/>
        <v>19</v>
      </c>
    </row>
    <row r="21" spans="1:5" x14ac:dyDescent="0.25">
      <c r="A21" s="13">
        <f t="shared" si="4"/>
        <v>45677</v>
      </c>
      <c r="B21">
        <f t="shared" si="0"/>
        <v>2025</v>
      </c>
      <c r="C21" t="str">
        <f t="shared" si="1"/>
        <v>Jan</v>
      </c>
      <c r="D21">
        <f t="shared" si="2"/>
        <v>1</v>
      </c>
      <c r="E21">
        <f t="shared" si="3"/>
        <v>20</v>
      </c>
    </row>
    <row r="22" spans="1:5" x14ac:dyDescent="0.25">
      <c r="A22" s="13">
        <f t="shared" si="4"/>
        <v>45678</v>
      </c>
      <c r="B22">
        <f t="shared" si="0"/>
        <v>2025</v>
      </c>
      <c r="C22" t="str">
        <f t="shared" si="1"/>
        <v>Jan</v>
      </c>
      <c r="D22">
        <f t="shared" si="2"/>
        <v>1</v>
      </c>
      <c r="E22">
        <f t="shared" si="3"/>
        <v>21</v>
      </c>
    </row>
    <row r="23" spans="1:5" x14ac:dyDescent="0.25">
      <c r="A23" s="13">
        <f t="shared" si="4"/>
        <v>45679</v>
      </c>
      <c r="B23">
        <f t="shared" si="0"/>
        <v>2025</v>
      </c>
      <c r="C23" t="str">
        <f t="shared" si="1"/>
        <v>Jan</v>
      </c>
      <c r="D23">
        <f t="shared" si="2"/>
        <v>1</v>
      </c>
      <c r="E23">
        <f t="shared" si="3"/>
        <v>22</v>
      </c>
    </row>
    <row r="24" spans="1:5" x14ac:dyDescent="0.25">
      <c r="A24" s="13">
        <f t="shared" si="4"/>
        <v>45680</v>
      </c>
      <c r="B24">
        <f t="shared" si="0"/>
        <v>2025</v>
      </c>
      <c r="C24" t="str">
        <f t="shared" si="1"/>
        <v>Jan</v>
      </c>
      <c r="D24">
        <f t="shared" si="2"/>
        <v>1</v>
      </c>
      <c r="E24">
        <f t="shared" si="3"/>
        <v>23</v>
      </c>
    </row>
    <row r="25" spans="1:5" x14ac:dyDescent="0.25">
      <c r="A25" s="13">
        <f t="shared" si="4"/>
        <v>45681</v>
      </c>
      <c r="B25">
        <f t="shared" si="0"/>
        <v>2025</v>
      </c>
      <c r="C25" t="str">
        <f t="shared" si="1"/>
        <v>Jan</v>
      </c>
      <c r="D25">
        <f t="shared" si="2"/>
        <v>1</v>
      </c>
      <c r="E25">
        <f t="shared" si="3"/>
        <v>24</v>
      </c>
    </row>
    <row r="26" spans="1:5" x14ac:dyDescent="0.25">
      <c r="A26" s="13">
        <f t="shared" si="4"/>
        <v>45682</v>
      </c>
      <c r="B26">
        <f t="shared" si="0"/>
        <v>2025</v>
      </c>
      <c r="C26" t="str">
        <f t="shared" si="1"/>
        <v>Jan</v>
      </c>
      <c r="D26">
        <f t="shared" si="2"/>
        <v>1</v>
      </c>
      <c r="E26">
        <f t="shared" si="3"/>
        <v>25</v>
      </c>
    </row>
    <row r="27" spans="1:5" x14ac:dyDescent="0.25">
      <c r="A27" s="13">
        <f t="shared" si="4"/>
        <v>45683</v>
      </c>
      <c r="B27">
        <f t="shared" si="0"/>
        <v>2025</v>
      </c>
      <c r="C27" t="str">
        <f t="shared" si="1"/>
        <v>Jan</v>
      </c>
      <c r="D27">
        <f t="shared" si="2"/>
        <v>1</v>
      </c>
      <c r="E27">
        <f t="shared" si="3"/>
        <v>26</v>
      </c>
    </row>
    <row r="28" spans="1:5" x14ac:dyDescent="0.25">
      <c r="A28" s="13">
        <f t="shared" si="4"/>
        <v>45684</v>
      </c>
      <c r="B28">
        <f t="shared" si="0"/>
        <v>2025</v>
      </c>
      <c r="C28" t="str">
        <f t="shared" si="1"/>
        <v>Jan</v>
      </c>
      <c r="D28">
        <f t="shared" si="2"/>
        <v>1</v>
      </c>
      <c r="E28">
        <f t="shared" si="3"/>
        <v>27</v>
      </c>
    </row>
    <row r="29" spans="1:5" x14ac:dyDescent="0.25">
      <c r="A29" s="13">
        <f t="shared" si="4"/>
        <v>45685</v>
      </c>
      <c r="B29">
        <f t="shared" si="0"/>
        <v>2025</v>
      </c>
      <c r="C29" t="str">
        <f t="shared" si="1"/>
        <v>Jan</v>
      </c>
      <c r="D29">
        <f t="shared" si="2"/>
        <v>1</v>
      </c>
      <c r="E29">
        <f t="shared" si="3"/>
        <v>28</v>
      </c>
    </row>
    <row r="30" spans="1:5" x14ac:dyDescent="0.25">
      <c r="A30" s="13">
        <f t="shared" si="4"/>
        <v>45686</v>
      </c>
      <c r="B30">
        <f t="shared" si="0"/>
        <v>2025</v>
      </c>
      <c r="C30" t="str">
        <f t="shared" si="1"/>
        <v>Jan</v>
      </c>
      <c r="D30">
        <f t="shared" si="2"/>
        <v>1</v>
      </c>
      <c r="E30">
        <f t="shared" si="3"/>
        <v>29</v>
      </c>
    </row>
    <row r="31" spans="1:5" x14ac:dyDescent="0.25">
      <c r="A31" s="13">
        <f t="shared" si="4"/>
        <v>45687</v>
      </c>
      <c r="B31">
        <f t="shared" si="0"/>
        <v>2025</v>
      </c>
      <c r="C31" t="str">
        <f t="shared" si="1"/>
        <v>Jan</v>
      </c>
      <c r="D31">
        <f t="shared" si="2"/>
        <v>1</v>
      </c>
      <c r="E31">
        <f t="shared" si="3"/>
        <v>30</v>
      </c>
    </row>
    <row r="32" spans="1:5" x14ac:dyDescent="0.25">
      <c r="A32" s="13">
        <f t="shared" si="4"/>
        <v>45688</v>
      </c>
      <c r="B32">
        <f t="shared" si="0"/>
        <v>2025</v>
      </c>
      <c r="C32" t="str">
        <f t="shared" si="1"/>
        <v>Jan</v>
      </c>
      <c r="D32">
        <f t="shared" si="2"/>
        <v>1</v>
      </c>
      <c r="E32">
        <f t="shared" si="3"/>
        <v>31</v>
      </c>
    </row>
    <row r="33" spans="1:5" x14ac:dyDescent="0.25">
      <c r="A33" s="13">
        <f t="shared" si="4"/>
        <v>45689</v>
      </c>
      <c r="B33">
        <f t="shared" si="0"/>
        <v>2025</v>
      </c>
      <c r="C33" t="str">
        <f t="shared" si="1"/>
        <v>Feb</v>
      </c>
      <c r="D33">
        <f t="shared" si="2"/>
        <v>2</v>
      </c>
      <c r="E33">
        <f t="shared" si="3"/>
        <v>1</v>
      </c>
    </row>
    <row r="34" spans="1:5" x14ac:dyDescent="0.25">
      <c r="A34" s="13">
        <f t="shared" si="4"/>
        <v>45690</v>
      </c>
      <c r="B34">
        <f t="shared" si="0"/>
        <v>2025</v>
      </c>
      <c r="C34" t="str">
        <f t="shared" si="1"/>
        <v>Feb</v>
      </c>
      <c r="D34">
        <f t="shared" si="2"/>
        <v>2</v>
      </c>
      <c r="E34">
        <f t="shared" si="3"/>
        <v>2</v>
      </c>
    </row>
    <row r="35" spans="1:5" x14ac:dyDescent="0.25">
      <c r="A35" s="13">
        <f t="shared" si="4"/>
        <v>45691</v>
      </c>
      <c r="B35">
        <f t="shared" si="0"/>
        <v>2025</v>
      </c>
      <c r="C35" t="str">
        <f t="shared" si="1"/>
        <v>Feb</v>
      </c>
      <c r="D35">
        <f t="shared" si="2"/>
        <v>2</v>
      </c>
      <c r="E35">
        <f t="shared" si="3"/>
        <v>3</v>
      </c>
    </row>
    <row r="36" spans="1:5" x14ac:dyDescent="0.25">
      <c r="A36" s="13">
        <f t="shared" si="4"/>
        <v>45692</v>
      </c>
      <c r="B36">
        <f t="shared" si="0"/>
        <v>2025</v>
      </c>
      <c r="C36" t="str">
        <f t="shared" si="1"/>
        <v>Feb</v>
      </c>
      <c r="D36">
        <f t="shared" si="2"/>
        <v>2</v>
      </c>
      <c r="E36">
        <f t="shared" si="3"/>
        <v>4</v>
      </c>
    </row>
    <row r="37" spans="1:5" x14ac:dyDescent="0.25">
      <c r="A37" s="13">
        <f t="shared" si="4"/>
        <v>45693</v>
      </c>
      <c r="B37">
        <f t="shared" si="0"/>
        <v>2025</v>
      </c>
      <c r="C37" t="str">
        <f t="shared" si="1"/>
        <v>Feb</v>
      </c>
      <c r="D37">
        <f t="shared" si="2"/>
        <v>2</v>
      </c>
      <c r="E37">
        <f t="shared" si="3"/>
        <v>5</v>
      </c>
    </row>
    <row r="38" spans="1:5" x14ac:dyDescent="0.25">
      <c r="A38" s="13">
        <f t="shared" si="4"/>
        <v>45694</v>
      </c>
      <c r="B38">
        <f t="shared" si="0"/>
        <v>2025</v>
      </c>
      <c r="C38" t="str">
        <f t="shared" si="1"/>
        <v>Feb</v>
      </c>
      <c r="D38">
        <f t="shared" si="2"/>
        <v>2</v>
      </c>
      <c r="E38">
        <f t="shared" si="3"/>
        <v>6</v>
      </c>
    </row>
    <row r="39" spans="1:5" x14ac:dyDescent="0.25">
      <c r="A39" s="13">
        <f t="shared" si="4"/>
        <v>45695</v>
      </c>
      <c r="B39">
        <f t="shared" si="0"/>
        <v>2025</v>
      </c>
      <c r="C39" t="str">
        <f t="shared" si="1"/>
        <v>Feb</v>
      </c>
      <c r="D39">
        <f t="shared" si="2"/>
        <v>2</v>
      </c>
      <c r="E39">
        <f t="shared" si="3"/>
        <v>7</v>
      </c>
    </row>
    <row r="40" spans="1:5" x14ac:dyDescent="0.25">
      <c r="A40" s="13">
        <f t="shared" si="4"/>
        <v>45696</v>
      </c>
      <c r="B40">
        <f t="shared" si="0"/>
        <v>2025</v>
      </c>
      <c r="C40" t="str">
        <f t="shared" si="1"/>
        <v>Feb</v>
      </c>
      <c r="D40">
        <f t="shared" si="2"/>
        <v>2</v>
      </c>
      <c r="E40">
        <f t="shared" si="3"/>
        <v>8</v>
      </c>
    </row>
    <row r="41" spans="1:5" x14ac:dyDescent="0.25">
      <c r="A41" s="13">
        <f t="shared" si="4"/>
        <v>45697</v>
      </c>
      <c r="B41">
        <f t="shared" si="0"/>
        <v>2025</v>
      </c>
      <c r="C41" t="str">
        <f t="shared" si="1"/>
        <v>Feb</v>
      </c>
      <c r="D41">
        <f t="shared" si="2"/>
        <v>2</v>
      </c>
      <c r="E41">
        <f t="shared" si="3"/>
        <v>9</v>
      </c>
    </row>
    <row r="42" spans="1:5" x14ac:dyDescent="0.25">
      <c r="A42" s="13">
        <f t="shared" si="4"/>
        <v>45698</v>
      </c>
      <c r="B42">
        <f t="shared" si="0"/>
        <v>2025</v>
      </c>
      <c r="C42" t="str">
        <f t="shared" si="1"/>
        <v>Feb</v>
      </c>
      <c r="D42">
        <f t="shared" si="2"/>
        <v>2</v>
      </c>
      <c r="E42">
        <f t="shared" si="3"/>
        <v>10</v>
      </c>
    </row>
    <row r="43" spans="1:5" x14ac:dyDescent="0.25">
      <c r="A43" s="13">
        <f t="shared" si="4"/>
        <v>45699</v>
      </c>
      <c r="B43">
        <f t="shared" si="0"/>
        <v>2025</v>
      </c>
      <c r="C43" t="str">
        <f t="shared" si="1"/>
        <v>Feb</v>
      </c>
      <c r="D43">
        <f t="shared" si="2"/>
        <v>2</v>
      </c>
      <c r="E43">
        <f t="shared" si="3"/>
        <v>11</v>
      </c>
    </row>
    <row r="44" spans="1:5" x14ac:dyDescent="0.25">
      <c r="A44" s="13">
        <f t="shared" si="4"/>
        <v>45700</v>
      </c>
      <c r="B44">
        <f t="shared" si="0"/>
        <v>2025</v>
      </c>
      <c r="C44" t="str">
        <f t="shared" si="1"/>
        <v>Feb</v>
      </c>
      <c r="D44">
        <f t="shared" si="2"/>
        <v>2</v>
      </c>
      <c r="E44">
        <f t="shared" si="3"/>
        <v>12</v>
      </c>
    </row>
    <row r="45" spans="1:5" x14ac:dyDescent="0.25">
      <c r="A45" s="13">
        <f t="shared" si="4"/>
        <v>45701</v>
      </c>
      <c r="B45">
        <f t="shared" si="0"/>
        <v>2025</v>
      </c>
      <c r="C45" t="str">
        <f t="shared" si="1"/>
        <v>Feb</v>
      </c>
      <c r="D45">
        <f t="shared" si="2"/>
        <v>2</v>
      </c>
      <c r="E45">
        <f t="shared" si="3"/>
        <v>13</v>
      </c>
    </row>
    <row r="46" spans="1:5" x14ac:dyDescent="0.25">
      <c r="A46" s="13">
        <f t="shared" si="4"/>
        <v>45702</v>
      </c>
      <c r="B46">
        <f t="shared" si="0"/>
        <v>2025</v>
      </c>
      <c r="C46" t="str">
        <f t="shared" si="1"/>
        <v>Feb</v>
      </c>
      <c r="D46">
        <f t="shared" si="2"/>
        <v>2</v>
      </c>
      <c r="E46">
        <f t="shared" si="3"/>
        <v>14</v>
      </c>
    </row>
    <row r="47" spans="1:5" x14ac:dyDescent="0.25">
      <c r="A47" s="13">
        <f t="shared" si="4"/>
        <v>45703</v>
      </c>
      <c r="B47">
        <f t="shared" si="0"/>
        <v>2025</v>
      </c>
      <c r="C47" t="str">
        <f t="shared" si="1"/>
        <v>Feb</v>
      </c>
      <c r="D47">
        <f t="shared" si="2"/>
        <v>2</v>
      </c>
      <c r="E47">
        <f t="shared" si="3"/>
        <v>15</v>
      </c>
    </row>
    <row r="48" spans="1:5" x14ac:dyDescent="0.25">
      <c r="A48" s="13">
        <f t="shared" si="4"/>
        <v>45704</v>
      </c>
      <c r="B48">
        <f t="shared" si="0"/>
        <v>2025</v>
      </c>
      <c r="C48" t="str">
        <f t="shared" si="1"/>
        <v>Feb</v>
      </c>
      <c r="D48">
        <f t="shared" si="2"/>
        <v>2</v>
      </c>
      <c r="E48">
        <f t="shared" si="3"/>
        <v>16</v>
      </c>
    </row>
    <row r="49" spans="1:5" x14ac:dyDescent="0.25">
      <c r="A49" s="13">
        <f t="shared" si="4"/>
        <v>45705</v>
      </c>
      <c r="B49">
        <f t="shared" si="0"/>
        <v>2025</v>
      </c>
      <c r="C49" t="str">
        <f t="shared" si="1"/>
        <v>Feb</v>
      </c>
      <c r="D49">
        <f t="shared" si="2"/>
        <v>2</v>
      </c>
      <c r="E49">
        <f t="shared" si="3"/>
        <v>17</v>
      </c>
    </row>
    <row r="50" spans="1:5" x14ac:dyDescent="0.25">
      <c r="A50" s="13">
        <f t="shared" si="4"/>
        <v>45706</v>
      </c>
      <c r="B50">
        <f t="shared" si="0"/>
        <v>2025</v>
      </c>
      <c r="C50" t="str">
        <f t="shared" si="1"/>
        <v>Feb</v>
      </c>
      <c r="D50">
        <f t="shared" si="2"/>
        <v>2</v>
      </c>
      <c r="E50">
        <f t="shared" si="3"/>
        <v>18</v>
      </c>
    </row>
    <row r="51" spans="1:5" x14ac:dyDescent="0.25">
      <c r="A51" s="13">
        <f t="shared" si="4"/>
        <v>45707</v>
      </c>
      <c r="B51">
        <f t="shared" si="0"/>
        <v>2025</v>
      </c>
      <c r="C51" t="str">
        <f t="shared" si="1"/>
        <v>Feb</v>
      </c>
      <c r="D51">
        <f t="shared" si="2"/>
        <v>2</v>
      </c>
      <c r="E51">
        <f t="shared" si="3"/>
        <v>19</v>
      </c>
    </row>
    <row r="52" spans="1:5" x14ac:dyDescent="0.25">
      <c r="A52" s="13">
        <f t="shared" si="4"/>
        <v>45708</v>
      </c>
      <c r="B52">
        <f t="shared" si="0"/>
        <v>2025</v>
      </c>
      <c r="C52" t="str">
        <f t="shared" si="1"/>
        <v>Feb</v>
      </c>
      <c r="D52">
        <f t="shared" si="2"/>
        <v>2</v>
      </c>
      <c r="E52">
        <f t="shared" si="3"/>
        <v>20</v>
      </c>
    </row>
    <row r="53" spans="1:5" x14ac:dyDescent="0.25">
      <c r="A53" s="13">
        <f t="shared" si="4"/>
        <v>45709</v>
      </c>
      <c r="B53">
        <f t="shared" si="0"/>
        <v>2025</v>
      </c>
      <c r="C53" t="str">
        <f t="shared" si="1"/>
        <v>Feb</v>
      </c>
      <c r="D53">
        <f t="shared" si="2"/>
        <v>2</v>
      </c>
      <c r="E53">
        <f t="shared" si="3"/>
        <v>21</v>
      </c>
    </row>
    <row r="54" spans="1:5" x14ac:dyDescent="0.25">
      <c r="A54" s="13">
        <f t="shared" si="4"/>
        <v>45710</v>
      </c>
      <c r="B54">
        <f t="shared" si="0"/>
        <v>2025</v>
      </c>
      <c r="C54" t="str">
        <f t="shared" si="1"/>
        <v>Feb</v>
      </c>
      <c r="D54">
        <f t="shared" si="2"/>
        <v>2</v>
      </c>
      <c r="E54">
        <f t="shared" si="3"/>
        <v>22</v>
      </c>
    </row>
    <row r="55" spans="1:5" x14ac:dyDescent="0.25">
      <c r="A55" s="13">
        <f t="shared" si="4"/>
        <v>45711</v>
      </c>
      <c r="B55">
        <f t="shared" si="0"/>
        <v>2025</v>
      </c>
      <c r="C55" t="str">
        <f t="shared" si="1"/>
        <v>Feb</v>
      </c>
      <c r="D55">
        <f t="shared" si="2"/>
        <v>2</v>
      </c>
      <c r="E55">
        <f t="shared" si="3"/>
        <v>23</v>
      </c>
    </row>
    <row r="56" spans="1:5" x14ac:dyDescent="0.25">
      <c r="A56" s="13">
        <f t="shared" si="4"/>
        <v>45712</v>
      </c>
      <c r="B56">
        <f t="shared" si="0"/>
        <v>2025</v>
      </c>
      <c r="C56" t="str">
        <f t="shared" si="1"/>
        <v>Feb</v>
      </c>
      <c r="D56">
        <f t="shared" si="2"/>
        <v>2</v>
      </c>
      <c r="E56">
        <f t="shared" si="3"/>
        <v>24</v>
      </c>
    </row>
    <row r="57" spans="1:5" x14ac:dyDescent="0.25">
      <c r="A57" s="13">
        <f t="shared" si="4"/>
        <v>45713</v>
      </c>
      <c r="B57">
        <f t="shared" si="0"/>
        <v>2025</v>
      </c>
      <c r="C57" t="str">
        <f t="shared" si="1"/>
        <v>Feb</v>
      </c>
      <c r="D57">
        <f t="shared" si="2"/>
        <v>2</v>
      </c>
      <c r="E57">
        <f t="shared" si="3"/>
        <v>25</v>
      </c>
    </row>
    <row r="58" spans="1:5" x14ac:dyDescent="0.25">
      <c r="A58" s="13">
        <f t="shared" si="4"/>
        <v>45714</v>
      </c>
      <c r="B58">
        <f t="shared" si="0"/>
        <v>2025</v>
      </c>
      <c r="C58" t="str">
        <f t="shared" si="1"/>
        <v>Feb</v>
      </c>
      <c r="D58">
        <f t="shared" si="2"/>
        <v>2</v>
      </c>
      <c r="E58">
        <f t="shared" si="3"/>
        <v>26</v>
      </c>
    </row>
    <row r="59" spans="1:5" x14ac:dyDescent="0.25">
      <c r="A59" s="13">
        <f t="shared" si="4"/>
        <v>45715</v>
      </c>
      <c r="B59">
        <f t="shared" si="0"/>
        <v>2025</v>
      </c>
      <c r="C59" t="str">
        <f t="shared" si="1"/>
        <v>Feb</v>
      </c>
      <c r="D59">
        <f t="shared" si="2"/>
        <v>2</v>
      </c>
      <c r="E59">
        <f t="shared" si="3"/>
        <v>27</v>
      </c>
    </row>
    <row r="60" spans="1:5" x14ac:dyDescent="0.25">
      <c r="A60" s="13">
        <f t="shared" si="4"/>
        <v>45716</v>
      </c>
      <c r="B60">
        <f t="shared" si="0"/>
        <v>2025</v>
      </c>
      <c r="C60" t="str">
        <f t="shared" si="1"/>
        <v>Feb</v>
      </c>
      <c r="D60">
        <f t="shared" si="2"/>
        <v>2</v>
      </c>
      <c r="E60">
        <f t="shared" si="3"/>
        <v>28</v>
      </c>
    </row>
    <row r="61" spans="1:5" x14ac:dyDescent="0.25">
      <c r="A61" s="13">
        <f t="shared" si="4"/>
        <v>45717</v>
      </c>
      <c r="B61">
        <f t="shared" si="0"/>
        <v>2025</v>
      </c>
      <c r="C61" t="str">
        <f t="shared" si="1"/>
        <v>Mar</v>
      </c>
      <c r="D61">
        <f t="shared" si="2"/>
        <v>3</v>
      </c>
      <c r="E61">
        <f t="shared" si="3"/>
        <v>1</v>
      </c>
    </row>
    <row r="62" spans="1:5" x14ac:dyDescent="0.25">
      <c r="A62" s="13">
        <f t="shared" si="4"/>
        <v>45718</v>
      </c>
      <c r="B62">
        <f t="shared" si="0"/>
        <v>2025</v>
      </c>
      <c r="C62" t="str">
        <f t="shared" si="1"/>
        <v>Mar</v>
      </c>
      <c r="D62">
        <f t="shared" si="2"/>
        <v>3</v>
      </c>
      <c r="E62">
        <f t="shared" si="3"/>
        <v>2</v>
      </c>
    </row>
    <row r="63" spans="1:5" x14ac:dyDescent="0.25">
      <c r="A63" s="13">
        <f t="shared" si="4"/>
        <v>45719</v>
      </c>
      <c r="B63">
        <f t="shared" si="0"/>
        <v>2025</v>
      </c>
      <c r="C63" t="str">
        <f t="shared" si="1"/>
        <v>Mar</v>
      </c>
      <c r="D63">
        <f t="shared" si="2"/>
        <v>3</v>
      </c>
      <c r="E63">
        <f t="shared" si="3"/>
        <v>3</v>
      </c>
    </row>
    <row r="64" spans="1:5" x14ac:dyDescent="0.25">
      <c r="A64" s="13">
        <f t="shared" si="4"/>
        <v>45720</v>
      </c>
      <c r="B64">
        <f t="shared" si="0"/>
        <v>2025</v>
      </c>
      <c r="C64" t="str">
        <f t="shared" si="1"/>
        <v>Mar</v>
      </c>
      <c r="D64">
        <f t="shared" si="2"/>
        <v>3</v>
      </c>
      <c r="E64">
        <f t="shared" si="3"/>
        <v>4</v>
      </c>
    </row>
    <row r="65" spans="1:5" x14ac:dyDescent="0.25">
      <c r="A65" s="13">
        <f t="shared" si="4"/>
        <v>45721</v>
      </c>
      <c r="B65">
        <f t="shared" si="0"/>
        <v>2025</v>
      </c>
      <c r="C65" t="str">
        <f t="shared" si="1"/>
        <v>Mar</v>
      </c>
      <c r="D65">
        <f t="shared" si="2"/>
        <v>3</v>
      </c>
      <c r="E65">
        <f t="shared" si="3"/>
        <v>5</v>
      </c>
    </row>
    <row r="66" spans="1:5" x14ac:dyDescent="0.25">
      <c r="A66" s="13">
        <f t="shared" si="4"/>
        <v>45722</v>
      </c>
      <c r="B66">
        <f t="shared" si="0"/>
        <v>2025</v>
      </c>
      <c r="C66" t="str">
        <f t="shared" si="1"/>
        <v>Mar</v>
      </c>
      <c r="D66">
        <f t="shared" si="2"/>
        <v>3</v>
      </c>
      <c r="E66">
        <f t="shared" si="3"/>
        <v>6</v>
      </c>
    </row>
    <row r="67" spans="1:5" x14ac:dyDescent="0.25">
      <c r="A67" s="13">
        <f t="shared" si="4"/>
        <v>45723</v>
      </c>
      <c r="B67">
        <f t="shared" ref="B67:B130" si="5">YEAR(A67)</f>
        <v>2025</v>
      </c>
      <c r="C67" t="str">
        <f t="shared" ref="C67:C130" si="6">TEXT(A67,"mmm")</f>
        <v>Mar</v>
      </c>
      <c r="D67">
        <f t="shared" ref="D67:D130" si="7">MONTH(A67)</f>
        <v>3</v>
      </c>
      <c r="E67">
        <f t="shared" ref="E67:E130" si="8">DAY(A67)</f>
        <v>7</v>
      </c>
    </row>
    <row r="68" spans="1:5" x14ac:dyDescent="0.25">
      <c r="A68" s="13">
        <f t="shared" ref="A68:A131" si="9">A67+1</f>
        <v>45724</v>
      </c>
      <c r="B68">
        <f t="shared" si="5"/>
        <v>2025</v>
      </c>
      <c r="C68" t="str">
        <f t="shared" si="6"/>
        <v>Mar</v>
      </c>
      <c r="D68">
        <f t="shared" si="7"/>
        <v>3</v>
      </c>
      <c r="E68">
        <f t="shared" si="8"/>
        <v>8</v>
      </c>
    </row>
    <row r="69" spans="1:5" x14ac:dyDescent="0.25">
      <c r="A69" s="13">
        <f t="shared" si="9"/>
        <v>45725</v>
      </c>
      <c r="B69">
        <f t="shared" si="5"/>
        <v>2025</v>
      </c>
      <c r="C69" t="str">
        <f t="shared" si="6"/>
        <v>Mar</v>
      </c>
      <c r="D69">
        <f t="shared" si="7"/>
        <v>3</v>
      </c>
      <c r="E69">
        <f t="shared" si="8"/>
        <v>9</v>
      </c>
    </row>
    <row r="70" spans="1:5" x14ac:dyDescent="0.25">
      <c r="A70" s="13">
        <f t="shared" si="9"/>
        <v>45726</v>
      </c>
      <c r="B70">
        <f t="shared" si="5"/>
        <v>2025</v>
      </c>
      <c r="C70" t="str">
        <f t="shared" si="6"/>
        <v>Mar</v>
      </c>
      <c r="D70">
        <f t="shared" si="7"/>
        <v>3</v>
      </c>
      <c r="E70">
        <f t="shared" si="8"/>
        <v>10</v>
      </c>
    </row>
    <row r="71" spans="1:5" x14ac:dyDescent="0.25">
      <c r="A71" s="13">
        <f t="shared" si="9"/>
        <v>45727</v>
      </c>
      <c r="B71">
        <f t="shared" si="5"/>
        <v>2025</v>
      </c>
      <c r="C71" t="str">
        <f t="shared" si="6"/>
        <v>Mar</v>
      </c>
      <c r="D71">
        <f t="shared" si="7"/>
        <v>3</v>
      </c>
      <c r="E71">
        <f t="shared" si="8"/>
        <v>11</v>
      </c>
    </row>
    <row r="72" spans="1:5" x14ac:dyDescent="0.25">
      <c r="A72" s="13">
        <f t="shared" si="9"/>
        <v>45728</v>
      </c>
      <c r="B72">
        <f t="shared" si="5"/>
        <v>2025</v>
      </c>
      <c r="C72" t="str">
        <f t="shared" si="6"/>
        <v>Mar</v>
      </c>
      <c r="D72">
        <f t="shared" si="7"/>
        <v>3</v>
      </c>
      <c r="E72">
        <f t="shared" si="8"/>
        <v>12</v>
      </c>
    </row>
    <row r="73" spans="1:5" x14ac:dyDescent="0.25">
      <c r="A73" s="13">
        <f t="shared" si="9"/>
        <v>45729</v>
      </c>
      <c r="B73">
        <f t="shared" si="5"/>
        <v>2025</v>
      </c>
      <c r="C73" t="str">
        <f t="shared" si="6"/>
        <v>Mar</v>
      </c>
      <c r="D73">
        <f t="shared" si="7"/>
        <v>3</v>
      </c>
      <c r="E73">
        <f t="shared" si="8"/>
        <v>13</v>
      </c>
    </row>
    <row r="74" spans="1:5" x14ac:dyDescent="0.25">
      <c r="A74" s="13">
        <f t="shared" si="9"/>
        <v>45730</v>
      </c>
      <c r="B74">
        <f t="shared" si="5"/>
        <v>2025</v>
      </c>
      <c r="C74" t="str">
        <f t="shared" si="6"/>
        <v>Mar</v>
      </c>
      <c r="D74">
        <f t="shared" si="7"/>
        <v>3</v>
      </c>
      <c r="E74">
        <f t="shared" si="8"/>
        <v>14</v>
      </c>
    </row>
    <row r="75" spans="1:5" x14ac:dyDescent="0.25">
      <c r="A75" s="13">
        <f t="shared" si="9"/>
        <v>45731</v>
      </c>
      <c r="B75">
        <f t="shared" si="5"/>
        <v>2025</v>
      </c>
      <c r="C75" t="str">
        <f t="shared" si="6"/>
        <v>Mar</v>
      </c>
      <c r="D75">
        <f t="shared" si="7"/>
        <v>3</v>
      </c>
      <c r="E75">
        <f t="shared" si="8"/>
        <v>15</v>
      </c>
    </row>
    <row r="76" spans="1:5" x14ac:dyDescent="0.25">
      <c r="A76" s="13">
        <f t="shared" si="9"/>
        <v>45732</v>
      </c>
      <c r="B76">
        <f t="shared" si="5"/>
        <v>2025</v>
      </c>
      <c r="C76" t="str">
        <f t="shared" si="6"/>
        <v>Mar</v>
      </c>
      <c r="D76">
        <f t="shared" si="7"/>
        <v>3</v>
      </c>
      <c r="E76">
        <f t="shared" si="8"/>
        <v>16</v>
      </c>
    </row>
    <row r="77" spans="1:5" x14ac:dyDescent="0.25">
      <c r="A77" s="13">
        <f t="shared" si="9"/>
        <v>45733</v>
      </c>
      <c r="B77">
        <f t="shared" si="5"/>
        <v>2025</v>
      </c>
      <c r="C77" t="str">
        <f t="shared" si="6"/>
        <v>Mar</v>
      </c>
      <c r="D77">
        <f t="shared" si="7"/>
        <v>3</v>
      </c>
      <c r="E77">
        <f t="shared" si="8"/>
        <v>17</v>
      </c>
    </row>
    <row r="78" spans="1:5" x14ac:dyDescent="0.25">
      <c r="A78" s="13">
        <f t="shared" si="9"/>
        <v>45734</v>
      </c>
      <c r="B78">
        <f t="shared" si="5"/>
        <v>2025</v>
      </c>
      <c r="C78" t="str">
        <f t="shared" si="6"/>
        <v>Mar</v>
      </c>
      <c r="D78">
        <f t="shared" si="7"/>
        <v>3</v>
      </c>
      <c r="E78">
        <f t="shared" si="8"/>
        <v>18</v>
      </c>
    </row>
    <row r="79" spans="1:5" x14ac:dyDescent="0.25">
      <c r="A79" s="13">
        <f t="shared" si="9"/>
        <v>45735</v>
      </c>
      <c r="B79">
        <f t="shared" si="5"/>
        <v>2025</v>
      </c>
      <c r="C79" t="str">
        <f t="shared" si="6"/>
        <v>Mar</v>
      </c>
      <c r="D79">
        <f t="shared" si="7"/>
        <v>3</v>
      </c>
      <c r="E79">
        <f t="shared" si="8"/>
        <v>19</v>
      </c>
    </row>
    <row r="80" spans="1:5" x14ac:dyDescent="0.25">
      <c r="A80" s="13">
        <f t="shared" si="9"/>
        <v>45736</v>
      </c>
      <c r="B80">
        <f t="shared" si="5"/>
        <v>2025</v>
      </c>
      <c r="C80" t="str">
        <f t="shared" si="6"/>
        <v>Mar</v>
      </c>
      <c r="D80">
        <f t="shared" si="7"/>
        <v>3</v>
      </c>
      <c r="E80">
        <f t="shared" si="8"/>
        <v>20</v>
      </c>
    </row>
    <row r="81" spans="1:5" x14ac:dyDescent="0.25">
      <c r="A81" s="13">
        <f t="shared" si="9"/>
        <v>45737</v>
      </c>
      <c r="B81">
        <f t="shared" si="5"/>
        <v>2025</v>
      </c>
      <c r="C81" t="str">
        <f t="shared" si="6"/>
        <v>Mar</v>
      </c>
      <c r="D81">
        <f t="shared" si="7"/>
        <v>3</v>
      </c>
      <c r="E81">
        <f t="shared" si="8"/>
        <v>21</v>
      </c>
    </row>
    <row r="82" spans="1:5" x14ac:dyDescent="0.25">
      <c r="A82" s="13">
        <f t="shared" si="9"/>
        <v>45738</v>
      </c>
      <c r="B82">
        <f t="shared" si="5"/>
        <v>2025</v>
      </c>
      <c r="C82" t="str">
        <f t="shared" si="6"/>
        <v>Mar</v>
      </c>
      <c r="D82">
        <f t="shared" si="7"/>
        <v>3</v>
      </c>
      <c r="E82">
        <f t="shared" si="8"/>
        <v>22</v>
      </c>
    </row>
    <row r="83" spans="1:5" x14ac:dyDescent="0.25">
      <c r="A83" s="13">
        <f t="shared" si="9"/>
        <v>45739</v>
      </c>
      <c r="B83">
        <f t="shared" si="5"/>
        <v>2025</v>
      </c>
      <c r="C83" t="str">
        <f t="shared" si="6"/>
        <v>Mar</v>
      </c>
      <c r="D83">
        <f t="shared" si="7"/>
        <v>3</v>
      </c>
      <c r="E83">
        <f t="shared" si="8"/>
        <v>23</v>
      </c>
    </row>
    <row r="84" spans="1:5" x14ac:dyDescent="0.25">
      <c r="A84" s="13">
        <f t="shared" si="9"/>
        <v>45740</v>
      </c>
      <c r="B84">
        <f t="shared" si="5"/>
        <v>2025</v>
      </c>
      <c r="C84" t="str">
        <f t="shared" si="6"/>
        <v>Mar</v>
      </c>
      <c r="D84">
        <f t="shared" si="7"/>
        <v>3</v>
      </c>
      <c r="E84">
        <f t="shared" si="8"/>
        <v>24</v>
      </c>
    </row>
    <row r="85" spans="1:5" x14ac:dyDescent="0.25">
      <c r="A85" s="13">
        <f t="shared" si="9"/>
        <v>45741</v>
      </c>
      <c r="B85">
        <f t="shared" si="5"/>
        <v>2025</v>
      </c>
      <c r="C85" t="str">
        <f t="shared" si="6"/>
        <v>Mar</v>
      </c>
      <c r="D85">
        <f t="shared" si="7"/>
        <v>3</v>
      </c>
      <c r="E85">
        <f t="shared" si="8"/>
        <v>25</v>
      </c>
    </row>
    <row r="86" spans="1:5" x14ac:dyDescent="0.25">
      <c r="A86" s="13">
        <f t="shared" si="9"/>
        <v>45742</v>
      </c>
      <c r="B86">
        <f t="shared" si="5"/>
        <v>2025</v>
      </c>
      <c r="C86" t="str">
        <f t="shared" si="6"/>
        <v>Mar</v>
      </c>
      <c r="D86">
        <f t="shared" si="7"/>
        <v>3</v>
      </c>
      <c r="E86">
        <f t="shared" si="8"/>
        <v>26</v>
      </c>
    </row>
    <row r="87" spans="1:5" x14ac:dyDescent="0.25">
      <c r="A87" s="13">
        <f t="shared" si="9"/>
        <v>45743</v>
      </c>
      <c r="B87">
        <f t="shared" si="5"/>
        <v>2025</v>
      </c>
      <c r="C87" t="str">
        <f t="shared" si="6"/>
        <v>Mar</v>
      </c>
      <c r="D87">
        <f t="shared" si="7"/>
        <v>3</v>
      </c>
      <c r="E87">
        <f t="shared" si="8"/>
        <v>27</v>
      </c>
    </row>
    <row r="88" spans="1:5" x14ac:dyDescent="0.25">
      <c r="A88" s="13">
        <f t="shared" si="9"/>
        <v>45744</v>
      </c>
      <c r="B88">
        <f t="shared" si="5"/>
        <v>2025</v>
      </c>
      <c r="C88" t="str">
        <f t="shared" si="6"/>
        <v>Mar</v>
      </c>
      <c r="D88">
        <f t="shared" si="7"/>
        <v>3</v>
      </c>
      <c r="E88">
        <f t="shared" si="8"/>
        <v>28</v>
      </c>
    </row>
    <row r="89" spans="1:5" x14ac:dyDescent="0.25">
      <c r="A89" s="13">
        <f t="shared" si="9"/>
        <v>45745</v>
      </c>
      <c r="B89">
        <f t="shared" si="5"/>
        <v>2025</v>
      </c>
      <c r="C89" t="str">
        <f t="shared" si="6"/>
        <v>Mar</v>
      </c>
      <c r="D89">
        <f t="shared" si="7"/>
        <v>3</v>
      </c>
      <c r="E89">
        <f t="shared" si="8"/>
        <v>29</v>
      </c>
    </row>
    <row r="90" spans="1:5" x14ac:dyDescent="0.25">
      <c r="A90" s="13">
        <f t="shared" si="9"/>
        <v>45746</v>
      </c>
      <c r="B90">
        <f t="shared" si="5"/>
        <v>2025</v>
      </c>
      <c r="C90" t="str">
        <f t="shared" si="6"/>
        <v>Mar</v>
      </c>
      <c r="D90">
        <f t="shared" si="7"/>
        <v>3</v>
      </c>
      <c r="E90">
        <f t="shared" si="8"/>
        <v>30</v>
      </c>
    </row>
    <row r="91" spans="1:5" x14ac:dyDescent="0.25">
      <c r="A91" s="13">
        <f t="shared" si="9"/>
        <v>45747</v>
      </c>
      <c r="B91">
        <f t="shared" si="5"/>
        <v>2025</v>
      </c>
      <c r="C91" t="str">
        <f t="shared" si="6"/>
        <v>Mar</v>
      </c>
      <c r="D91">
        <f t="shared" si="7"/>
        <v>3</v>
      </c>
      <c r="E91">
        <f t="shared" si="8"/>
        <v>31</v>
      </c>
    </row>
    <row r="92" spans="1:5" x14ac:dyDescent="0.25">
      <c r="A92" s="13">
        <f t="shared" si="9"/>
        <v>45748</v>
      </c>
      <c r="B92">
        <f t="shared" si="5"/>
        <v>2025</v>
      </c>
      <c r="C92" t="str">
        <f t="shared" si="6"/>
        <v>Apr</v>
      </c>
      <c r="D92">
        <f t="shared" si="7"/>
        <v>4</v>
      </c>
      <c r="E92">
        <f t="shared" si="8"/>
        <v>1</v>
      </c>
    </row>
    <row r="93" spans="1:5" x14ac:dyDescent="0.25">
      <c r="A93" s="13">
        <f t="shared" si="9"/>
        <v>45749</v>
      </c>
      <c r="B93">
        <f t="shared" si="5"/>
        <v>2025</v>
      </c>
      <c r="C93" t="str">
        <f t="shared" si="6"/>
        <v>Apr</v>
      </c>
      <c r="D93">
        <f t="shared" si="7"/>
        <v>4</v>
      </c>
      <c r="E93">
        <f t="shared" si="8"/>
        <v>2</v>
      </c>
    </row>
    <row r="94" spans="1:5" x14ac:dyDescent="0.25">
      <c r="A94" s="13">
        <f t="shared" si="9"/>
        <v>45750</v>
      </c>
      <c r="B94">
        <f t="shared" si="5"/>
        <v>2025</v>
      </c>
      <c r="C94" t="str">
        <f t="shared" si="6"/>
        <v>Apr</v>
      </c>
      <c r="D94">
        <f t="shared" si="7"/>
        <v>4</v>
      </c>
      <c r="E94">
        <f t="shared" si="8"/>
        <v>3</v>
      </c>
    </row>
    <row r="95" spans="1:5" x14ac:dyDescent="0.25">
      <c r="A95" s="13">
        <f t="shared" si="9"/>
        <v>45751</v>
      </c>
      <c r="B95">
        <f t="shared" si="5"/>
        <v>2025</v>
      </c>
      <c r="C95" t="str">
        <f t="shared" si="6"/>
        <v>Apr</v>
      </c>
      <c r="D95">
        <f t="shared" si="7"/>
        <v>4</v>
      </c>
      <c r="E95">
        <f t="shared" si="8"/>
        <v>4</v>
      </c>
    </row>
    <row r="96" spans="1:5" x14ac:dyDescent="0.25">
      <c r="A96" s="13">
        <f t="shared" si="9"/>
        <v>45752</v>
      </c>
      <c r="B96">
        <f t="shared" si="5"/>
        <v>2025</v>
      </c>
      <c r="C96" t="str">
        <f t="shared" si="6"/>
        <v>Apr</v>
      </c>
      <c r="D96">
        <f t="shared" si="7"/>
        <v>4</v>
      </c>
      <c r="E96">
        <f t="shared" si="8"/>
        <v>5</v>
      </c>
    </row>
    <row r="97" spans="1:5" x14ac:dyDescent="0.25">
      <c r="A97" s="13">
        <f t="shared" si="9"/>
        <v>45753</v>
      </c>
      <c r="B97">
        <f t="shared" si="5"/>
        <v>2025</v>
      </c>
      <c r="C97" t="str">
        <f t="shared" si="6"/>
        <v>Apr</v>
      </c>
      <c r="D97">
        <f t="shared" si="7"/>
        <v>4</v>
      </c>
      <c r="E97">
        <f t="shared" si="8"/>
        <v>6</v>
      </c>
    </row>
    <row r="98" spans="1:5" x14ac:dyDescent="0.25">
      <c r="A98" s="13">
        <f t="shared" si="9"/>
        <v>45754</v>
      </c>
      <c r="B98">
        <f t="shared" si="5"/>
        <v>2025</v>
      </c>
      <c r="C98" t="str">
        <f t="shared" si="6"/>
        <v>Apr</v>
      </c>
      <c r="D98">
        <f t="shared" si="7"/>
        <v>4</v>
      </c>
      <c r="E98">
        <f t="shared" si="8"/>
        <v>7</v>
      </c>
    </row>
    <row r="99" spans="1:5" x14ac:dyDescent="0.25">
      <c r="A99" s="13">
        <f t="shared" si="9"/>
        <v>45755</v>
      </c>
      <c r="B99">
        <f t="shared" si="5"/>
        <v>2025</v>
      </c>
      <c r="C99" t="str">
        <f t="shared" si="6"/>
        <v>Apr</v>
      </c>
      <c r="D99">
        <f t="shared" si="7"/>
        <v>4</v>
      </c>
      <c r="E99">
        <f t="shared" si="8"/>
        <v>8</v>
      </c>
    </row>
    <row r="100" spans="1:5" x14ac:dyDescent="0.25">
      <c r="A100" s="13">
        <f t="shared" si="9"/>
        <v>45756</v>
      </c>
      <c r="B100">
        <f t="shared" si="5"/>
        <v>2025</v>
      </c>
      <c r="C100" t="str">
        <f t="shared" si="6"/>
        <v>Apr</v>
      </c>
      <c r="D100">
        <f t="shared" si="7"/>
        <v>4</v>
      </c>
      <c r="E100">
        <f t="shared" si="8"/>
        <v>9</v>
      </c>
    </row>
    <row r="101" spans="1:5" x14ac:dyDescent="0.25">
      <c r="A101" s="13">
        <f t="shared" si="9"/>
        <v>45757</v>
      </c>
      <c r="B101">
        <f t="shared" si="5"/>
        <v>2025</v>
      </c>
      <c r="C101" t="str">
        <f t="shared" si="6"/>
        <v>Apr</v>
      </c>
      <c r="D101">
        <f t="shared" si="7"/>
        <v>4</v>
      </c>
      <c r="E101">
        <f t="shared" si="8"/>
        <v>10</v>
      </c>
    </row>
    <row r="102" spans="1:5" x14ac:dyDescent="0.25">
      <c r="A102" s="13">
        <f t="shared" si="9"/>
        <v>45758</v>
      </c>
      <c r="B102">
        <f t="shared" si="5"/>
        <v>2025</v>
      </c>
      <c r="C102" t="str">
        <f t="shared" si="6"/>
        <v>Apr</v>
      </c>
      <c r="D102">
        <f t="shared" si="7"/>
        <v>4</v>
      </c>
      <c r="E102">
        <f t="shared" si="8"/>
        <v>11</v>
      </c>
    </row>
    <row r="103" spans="1:5" x14ac:dyDescent="0.25">
      <c r="A103" s="13">
        <f t="shared" si="9"/>
        <v>45759</v>
      </c>
      <c r="B103">
        <f t="shared" si="5"/>
        <v>2025</v>
      </c>
      <c r="C103" t="str">
        <f t="shared" si="6"/>
        <v>Apr</v>
      </c>
      <c r="D103">
        <f t="shared" si="7"/>
        <v>4</v>
      </c>
      <c r="E103">
        <f t="shared" si="8"/>
        <v>12</v>
      </c>
    </row>
    <row r="104" spans="1:5" x14ac:dyDescent="0.25">
      <c r="A104" s="13">
        <f t="shared" si="9"/>
        <v>45760</v>
      </c>
      <c r="B104">
        <f t="shared" si="5"/>
        <v>2025</v>
      </c>
      <c r="C104" t="str">
        <f t="shared" si="6"/>
        <v>Apr</v>
      </c>
      <c r="D104">
        <f t="shared" si="7"/>
        <v>4</v>
      </c>
      <c r="E104">
        <f t="shared" si="8"/>
        <v>13</v>
      </c>
    </row>
    <row r="105" spans="1:5" x14ac:dyDescent="0.25">
      <c r="A105" s="13">
        <f t="shared" si="9"/>
        <v>45761</v>
      </c>
      <c r="B105">
        <f t="shared" si="5"/>
        <v>2025</v>
      </c>
      <c r="C105" t="str">
        <f t="shared" si="6"/>
        <v>Apr</v>
      </c>
      <c r="D105">
        <f t="shared" si="7"/>
        <v>4</v>
      </c>
      <c r="E105">
        <f t="shared" si="8"/>
        <v>14</v>
      </c>
    </row>
    <row r="106" spans="1:5" x14ac:dyDescent="0.25">
      <c r="A106" s="13">
        <f t="shared" si="9"/>
        <v>45762</v>
      </c>
      <c r="B106">
        <f t="shared" si="5"/>
        <v>2025</v>
      </c>
      <c r="C106" t="str">
        <f t="shared" si="6"/>
        <v>Apr</v>
      </c>
      <c r="D106">
        <f t="shared" si="7"/>
        <v>4</v>
      </c>
      <c r="E106">
        <f t="shared" si="8"/>
        <v>15</v>
      </c>
    </row>
    <row r="107" spans="1:5" x14ac:dyDescent="0.25">
      <c r="A107" s="13">
        <f t="shared" si="9"/>
        <v>45763</v>
      </c>
      <c r="B107">
        <f t="shared" si="5"/>
        <v>2025</v>
      </c>
      <c r="C107" t="str">
        <f t="shared" si="6"/>
        <v>Apr</v>
      </c>
      <c r="D107">
        <f t="shared" si="7"/>
        <v>4</v>
      </c>
      <c r="E107">
        <f t="shared" si="8"/>
        <v>16</v>
      </c>
    </row>
    <row r="108" spans="1:5" x14ac:dyDescent="0.25">
      <c r="A108" s="13">
        <f t="shared" si="9"/>
        <v>45764</v>
      </c>
      <c r="B108">
        <f t="shared" si="5"/>
        <v>2025</v>
      </c>
      <c r="C108" t="str">
        <f t="shared" si="6"/>
        <v>Apr</v>
      </c>
      <c r="D108">
        <f t="shared" si="7"/>
        <v>4</v>
      </c>
      <c r="E108">
        <f t="shared" si="8"/>
        <v>17</v>
      </c>
    </row>
    <row r="109" spans="1:5" x14ac:dyDescent="0.25">
      <c r="A109" s="13">
        <f t="shared" si="9"/>
        <v>45765</v>
      </c>
      <c r="B109">
        <f t="shared" si="5"/>
        <v>2025</v>
      </c>
      <c r="C109" t="str">
        <f t="shared" si="6"/>
        <v>Apr</v>
      </c>
      <c r="D109">
        <f t="shared" si="7"/>
        <v>4</v>
      </c>
      <c r="E109">
        <f t="shared" si="8"/>
        <v>18</v>
      </c>
    </row>
    <row r="110" spans="1:5" x14ac:dyDescent="0.25">
      <c r="A110" s="13">
        <f t="shared" si="9"/>
        <v>45766</v>
      </c>
      <c r="B110">
        <f t="shared" si="5"/>
        <v>2025</v>
      </c>
      <c r="C110" t="str">
        <f t="shared" si="6"/>
        <v>Apr</v>
      </c>
      <c r="D110">
        <f t="shared" si="7"/>
        <v>4</v>
      </c>
      <c r="E110">
        <f t="shared" si="8"/>
        <v>19</v>
      </c>
    </row>
    <row r="111" spans="1:5" x14ac:dyDescent="0.25">
      <c r="A111" s="13">
        <f t="shared" si="9"/>
        <v>45767</v>
      </c>
      <c r="B111">
        <f t="shared" si="5"/>
        <v>2025</v>
      </c>
      <c r="C111" t="str">
        <f t="shared" si="6"/>
        <v>Apr</v>
      </c>
      <c r="D111">
        <f t="shared" si="7"/>
        <v>4</v>
      </c>
      <c r="E111">
        <f t="shared" si="8"/>
        <v>20</v>
      </c>
    </row>
    <row r="112" spans="1:5" x14ac:dyDescent="0.25">
      <c r="A112" s="13">
        <f t="shared" si="9"/>
        <v>45768</v>
      </c>
      <c r="B112">
        <f t="shared" si="5"/>
        <v>2025</v>
      </c>
      <c r="C112" t="str">
        <f t="shared" si="6"/>
        <v>Apr</v>
      </c>
      <c r="D112">
        <f t="shared" si="7"/>
        <v>4</v>
      </c>
      <c r="E112">
        <f t="shared" si="8"/>
        <v>21</v>
      </c>
    </row>
    <row r="113" spans="1:5" x14ac:dyDescent="0.25">
      <c r="A113" s="13">
        <f t="shared" si="9"/>
        <v>45769</v>
      </c>
      <c r="B113">
        <f t="shared" si="5"/>
        <v>2025</v>
      </c>
      <c r="C113" t="str">
        <f t="shared" si="6"/>
        <v>Apr</v>
      </c>
      <c r="D113">
        <f t="shared" si="7"/>
        <v>4</v>
      </c>
      <c r="E113">
        <f t="shared" si="8"/>
        <v>22</v>
      </c>
    </row>
    <row r="114" spans="1:5" x14ac:dyDescent="0.25">
      <c r="A114" s="13">
        <f t="shared" si="9"/>
        <v>45770</v>
      </c>
      <c r="B114">
        <f t="shared" si="5"/>
        <v>2025</v>
      </c>
      <c r="C114" t="str">
        <f t="shared" si="6"/>
        <v>Apr</v>
      </c>
      <c r="D114">
        <f t="shared" si="7"/>
        <v>4</v>
      </c>
      <c r="E114">
        <f t="shared" si="8"/>
        <v>23</v>
      </c>
    </row>
    <row r="115" spans="1:5" x14ac:dyDescent="0.25">
      <c r="A115" s="13">
        <f t="shared" si="9"/>
        <v>45771</v>
      </c>
      <c r="B115">
        <f t="shared" si="5"/>
        <v>2025</v>
      </c>
      <c r="C115" t="str">
        <f t="shared" si="6"/>
        <v>Apr</v>
      </c>
      <c r="D115">
        <f t="shared" si="7"/>
        <v>4</v>
      </c>
      <c r="E115">
        <f t="shared" si="8"/>
        <v>24</v>
      </c>
    </row>
    <row r="116" spans="1:5" x14ac:dyDescent="0.25">
      <c r="A116" s="13">
        <f t="shared" si="9"/>
        <v>45772</v>
      </c>
      <c r="B116">
        <f t="shared" si="5"/>
        <v>2025</v>
      </c>
      <c r="C116" t="str">
        <f t="shared" si="6"/>
        <v>Apr</v>
      </c>
      <c r="D116">
        <f t="shared" si="7"/>
        <v>4</v>
      </c>
      <c r="E116">
        <f t="shared" si="8"/>
        <v>25</v>
      </c>
    </row>
    <row r="117" spans="1:5" x14ac:dyDescent="0.25">
      <c r="A117" s="13">
        <f t="shared" si="9"/>
        <v>45773</v>
      </c>
      <c r="B117">
        <f t="shared" si="5"/>
        <v>2025</v>
      </c>
      <c r="C117" t="str">
        <f t="shared" si="6"/>
        <v>Apr</v>
      </c>
      <c r="D117">
        <f t="shared" si="7"/>
        <v>4</v>
      </c>
      <c r="E117">
        <f t="shared" si="8"/>
        <v>26</v>
      </c>
    </row>
    <row r="118" spans="1:5" x14ac:dyDescent="0.25">
      <c r="A118" s="13">
        <f t="shared" si="9"/>
        <v>45774</v>
      </c>
      <c r="B118">
        <f t="shared" si="5"/>
        <v>2025</v>
      </c>
      <c r="C118" t="str">
        <f t="shared" si="6"/>
        <v>Apr</v>
      </c>
      <c r="D118">
        <f t="shared" si="7"/>
        <v>4</v>
      </c>
      <c r="E118">
        <f t="shared" si="8"/>
        <v>27</v>
      </c>
    </row>
    <row r="119" spans="1:5" x14ac:dyDescent="0.25">
      <c r="A119" s="13">
        <f t="shared" si="9"/>
        <v>45775</v>
      </c>
      <c r="B119">
        <f t="shared" si="5"/>
        <v>2025</v>
      </c>
      <c r="C119" t="str">
        <f t="shared" si="6"/>
        <v>Apr</v>
      </c>
      <c r="D119">
        <f t="shared" si="7"/>
        <v>4</v>
      </c>
      <c r="E119">
        <f t="shared" si="8"/>
        <v>28</v>
      </c>
    </row>
    <row r="120" spans="1:5" x14ac:dyDescent="0.25">
      <c r="A120" s="13">
        <f t="shared" si="9"/>
        <v>45776</v>
      </c>
      <c r="B120">
        <f t="shared" si="5"/>
        <v>2025</v>
      </c>
      <c r="C120" t="str">
        <f t="shared" si="6"/>
        <v>Apr</v>
      </c>
      <c r="D120">
        <f t="shared" si="7"/>
        <v>4</v>
      </c>
      <c r="E120">
        <f t="shared" si="8"/>
        <v>29</v>
      </c>
    </row>
    <row r="121" spans="1:5" x14ac:dyDescent="0.25">
      <c r="A121" s="13">
        <f t="shared" si="9"/>
        <v>45777</v>
      </c>
      <c r="B121">
        <f t="shared" si="5"/>
        <v>2025</v>
      </c>
      <c r="C121" t="str">
        <f t="shared" si="6"/>
        <v>Apr</v>
      </c>
      <c r="D121">
        <f t="shared" si="7"/>
        <v>4</v>
      </c>
      <c r="E121">
        <f t="shared" si="8"/>
        <v>30</v>
      </c>
    </row>
    <row r="122" spans="1:5" x14ac:dyDescent="0.25">
      <c r="A122" s="13">
        <f t="shared" si="9"/>
        <v>45778</v>
      </c>
      <c r="B122">
        <f t="shared" si="5"/>
        <v>2025</v>
      </c>
      <c r="C122" t="str">
        <f t="shared" si="6"/>
        <v>May</v>
      </c>
      <c r="D122">
        <f t="shared" si="7"/>
        <v>5</v>
      </c>
      <c r="E122">
        <f t="shared" si="8"/>
        <v>1</v>
      </c>
    </row>
    <row r="123" spans="1:5" x14ac:dyDescent="0.25">
      <c r="A123" s="13">
        <f t="shared" si="9"/>
        <v>45779</v>
      </c>
      <c r="B123">
        <f t="shared" si="5"/>
        <v>2025</v>
      </c>
      <c r="C123" t="str">
        <f t="shared" si="6"/>
        <v>May</v>
      </c>
      <c r="D123">
        <f t="shared" si="7"/>
        <v>5</v>
      </c>
      <c r="E123">
        <f t="shared" si="8"/>
        <v>2</v>
      </c>
    </row>
    <row r="124" spans="1:5" x14ac:dyDescent="0.25">
      <c r="A124" s="13">
        <f t="shared" si="9"/>
        <v>45780</v>
      </c>
      <c r="B124">
        <f t="shared" si="5"/>
        <v>2025</v>
      </c>
      <c r="C124" t="str">
        <f t="shared" si="6"/>
        <v>May</v>
      </c>
      <c r="D124">
        <f t="shared" si="7"/>
        <v>5</v>
      </c>
      <c r="E124">
        <f t="shared" si="8"/>
        <v>3</v>
      </c>
    </row>
    <row r="125" spans="1:5" x14ac:dyDescent="0.25">
      <c r="A125" s="13">
        <f t="shared" si="9"/>
        <v>45781</v>
      </c>
      <c r="B125">
        <f t="shared" si="5"/>
        <v>2025</v>
      </c>
      <c r="C125" t="str">
        <f t="shared" si="6"/>
        <v>May</v>
      </c>
      <c r="D125">
        <f t="shared" si="7"/>
        <v>5</v>
      </c>
      <c r="E125">
        <f t="shared" si="8"/>
        <v>4</v>
      </c>
    </row>
    <row r="126" spans="1:5" x14ac:dyDescent="0.25">
      <c r="A126" s="13">
        <f t="shared" si="9"/>
        <v>45782</v>
      </c>
      <c r="B126">
        <f t="shared" si="5"/>
        <v>2025</v>
      </c>
      <c r="C126" t="str">
        <f t="shared" si="6"/>
        <v>May</v>
      </c>
      <c r="D126">
        <f t="shared" si="7"/>
        <v>5</v>
      </c>
      <c r="E126">
        <f t="shared" si="8"/>
        <v>5</v>
      </c>
    </row>
    <row r="127" spans="1:5" x14ac:dyDescent="0.25">
      <c r="A127" s="13">
        <f t="shared" si="9"/>
        <v>45783</v>
      </c>
      <c r="B127">
        <f t="shared" si="5"/>
        <v>2025</v>
      </c>
      <c r="C127" t="str">
        <f t="shared" si="6"/>
        <v>May</v>
      </c>
      <c r="D127">
        <f t="shared" si="7"/>
        <v>5</v>
      </c>
      <c r="E127">
        <f t="shared" si="8"/>
        <v>6</v>
      </c>
    </row>
    <row r="128" spans="1:5" x14ac:dyDescent="0.25">
      <c r="A128" s="13">
        <f t="shared" si="9"/>
        <v>45784</v>
      </c>
      <c r="B128">
        <f t="shared" si="5"/>
        <v>2025</v>
      </c>
      <c r="C128" t="str">
        <f t="shared" si="6"/>
        <v>May</v>
      </c>
      <c r="D128">
        <f t="shared" si="7"/>
        <v>5</v>
      </c>
      <c r="E128">
        <f t="shared" si="8"/>
        <v>7</v>
      </c>
    </row>
    <row r="129" spans="1:5" x14ac:dyDescent="0.25">
      <c r="A129" s="13">
        <f t="shared" si="9"/>
        <v>45785</v>
      </c>
      <c r="B129">
        <f t="shared" si="5"/>
        <v>2025</v>
      </c>
      <c r="C129" t="str">
        <f t="shared" si="6"/>
        <v>May</v>
      </c>
      <c r="D129">
        <f t="shared" si="7"/>
        <v>5</v>
      </c>
      <c r="E129">
        <f t="shared" si="8"/>
        <v>8</v>
      </c>
    </row>
    <row r="130" spans="1:5" x14ac:dyDescent="0.25">
      <c r="A130" s="13">
        <f t="shared" si="9"/>
        <v>45786</v>
      </c>
      <c r="B130">
        <f t="shared" si="5"/>
        <v>2025</v>
      </c>
      <c r="C130" t="str">
        <f t="shared" si="6"/>
        <v>May</v>
      </c>
      <c r="D130">
        <f t="shared" si="7"/>
        <v>5</v>
      </c>
      <c r="E130">
        <f t="shared" si="8"/>
        <v>9</v>
      </c>
    </row>
    <row r="131" spans="1:5" x14ac:dyDescent="0.25">
      <c r="A131" s="13">
        <f t="shared" si="9"/>
        <v>45787</v>
      </c>
      <c r="B131">
        <f t="shared" ref="B131:B194" si="10">YEAR(A131)</f>
        <v>2025</v>
      </c>
      <c r="C131" t="str">
        <f t="shared" ref="C131:C194" si="11">TEXT(A131,"mmm")</f>
        <v>May</v>
      </c>
      <c r="D131">
        <f t="shared" ref="D131:D194" si="12">MONTH(A131)</f>
        <v>5</v>
      </c>
      <c r="E131">
        <f t="shared" ref="E131:E194" si="13">DAY(A131)</f>
        <v>10</v>
      </c>
    </row>
    <row r="132" spans="1:5" x14ac:dyDescent="0.25">
      <c r="A132" s="13">
        <f t="shared" ref="A132:A195" si="14">A131+1</f>
        <v>45788</v>
      </c>
      <c r="B132">
        <f t="shared" si="10"/>
        <v>2025</v>
      </c>
      <c r="C132" t="str">
        <f t="shared" si="11"/>
        <v>May</v>
      </c>
      <c r="D132">
        <f t="shared" si="12"/>
        <v>5</v>
      </c>
      <c r="E132">
        <f t="shared" si="13"/>
        <v>11</v>
      </c>
    </row>
    <row r="133" spans="1:5" x14ac:dyDescent="0.25">
      <c r="A133" s="13">
        <f t="shared" si="14"/>
        <v>45789</v>
      </c>
      <c r="B133">
        <f t="shared" si="10"/>
        <v>2025</v>
      </c>
      <c r="C133" t="str">
        <f t="shared" si="11"/>
        <v>May</v>
      </c>
      <c r="D133">
        <f t="shared" si="12"/>
        <v>5</v>
      </c>
      <c r="E133">
        <f t="shared" si="13"/>
        <v>12</v>
      </c>
    </row>
    <row r="134" spans="1:5" x14ac:dyDescent="0.25">
      <c r="A134" s="13">
        <f t="shared" si="14"/>
        <v>45790</v>
      </c>
      <c r="B134">
        <f t="shared" si="10"/>
        <v>2025</v>
      </c>
      <c r="C134" t="str">
        <f t="shared" si="11"/>
        <v>May</v>
      </c>
      <c r="D134">
        <f t="shared" si="12"/>
        <v>5</v>
      </c>
      <c r="E134">
        <f t="shared" si="13"/>
        <v>13</v>
      </c>
    </row>
    <row r="135" spans="1:5" x14ac:dyDescent="0.25">
      <c r="A135" s="13">
        <f t="shared" si="14"/>
        <v>45791</v>
      </c>
      <c r="B135">
        <f t="shared" si="10"/>
        <v>2025</v>
      </c>
      <c r="C135" t="str">
        <f t="shared" si="11"/>
        <v>May</v>
      </c>
      <c r="D135">
        <f t="shared" si="12"/>
        <v>5</v>
      </c>
      <c r="E135">
        <f t="shared" si="13"/>
        <v>14</v>
      </c>
    </row>
    <row r="136" spans="1:5" x14ac:dyDescent="0.25">
      <c r="A136" s="13">
        <f t="shared" si="14"/>
        <v>45792</v>
      </c>
      <c r="B136">
        <f t="shared" si="10"/>
        <v>2025</v>
      </c>
      <c r="C136" t="str">
        <f t="shared" si="11"/>
        <v>May</v>
      </c>
      <c r="D136">
        <f t="shared" si="12"/>
        <v>5</v>
      </c>
      <c r="E136">
        <f t="shared" si="13"/>
        <v>15</v>
      </c>
    </row>
    <row r="137" spans="1:5" x14ac:dyDescent="0.25">
      <c r="A137" s="13">
        <f t="shared" si="14"/>
        <v>45793</v>
      </c>
      <c r="B137">
        <f t="shared" si="10"/>
        <v>2025</v>
      </c>
      <c r="C137" t="str">
        <f t="shared" si="11"/>
        <v>May</v>
      </c>
      <c r="D137">
        <f t="shared" si="12"/>
        <v>5</v>
      </c>
      <c r="E137">
        <f t="shared" si="13"/>
        <v>16</v>
      </c>
    </row>
    <row r="138" spans="1:5" x14ac:dyDescent="0.25">
      <c r="A138" s="13">
        <f t="shared" si="14"/>
        <v>45794</v>
      </c>
      <c r="B138">
        <f t="shared" si="10"/>
        <v>2025</v>
      </c>
      <c r="C138" t="str">
        <f t="shared" si="11"/>
        <v>May</v>
      </c>
      <c r="D138">
        <f t="shared" si="12"/>
        <v>5</v>
      </c>
      <c r="E138">
        <f t="shared" si="13"/>
        <v>17</v>
      </c>
    </row>
    <row r="139" spans="1:5" x14ac:dyDescent="0.25">
      <c r="A139" s="13">
        <f t="shared" si="14"/>
        <v>45795</v>
      </c>
      <c r="B139">
        <f t="shared" si="10"/>
        <v>2025</v>
      </c>
      <c r="C139" t="str">
        <f t="shared" si="11"/>
        <v>May</v>
      </c>
      <c r="D139">
        <f t="shared" si="12"/>
        <v>5</v>
      </c>
      <c r="E139">
        <f t="shared" si="13"/>
        <v>18</v>
      </c>
    </row>
    <row r="140" spans="1:5" x14ac:dyDescent="0.25">
      <c r="A140" s="13">
        <f t="shared" si="14"/>
        <v>45796</v>
      </c>
      <c r="B140">
        <f t="shared" si="10"/>
        <v>2025</v>
      </c>
      <c r="C140" t="str">
        <f t="shared" si="11"/>
        <v>May</v>
      </c>
      <c r="D140">
        <f t="shared" si="12"/>
        <v>5</v>
      </c>
      <c r="E140">
        <f t="shared" si="13"/>
        <v>19</v>
      </c>
    </row>
    <row r="141" spans="1:5" x14ac:dyDescent="0.25">
      <c r="A141" s="13">
        <f t="shared" si="14"/>
        <v>45797</v>
      </c>
      <c r="B141">
        <f t="shared" si="10"/>
        <v>2025</v>
      </c>
      <c r="C141" t="str">
        <f t="shared" si="11"/>
        <v>May</v>
      </c>
      <c r="D141">
        <f t="shared" si="12"/>
        <v>5</v>
      </c>
      <c r="E141">
        <f t="shared" si="13"/>
        <v>20</v>
      </c>
    </row>
    <row r="142" spans="1:5" x14ac:dyDescent="0.25">
      <c r="A142" s="13">
        <f t="shared" si="14"/>
        <v>45798</v>
      </c>
      <c r="B142">
        <f t="shared" si="10"/>
        <v>2025</v>
      </c>
      <c r="C142" t="str">
        <f t="shared" si="11"/>
        <v>May</v>
      </c>
      <c r="D142">
        <f t="shared" si="12"/>
        <v>5</v>
      </c>
      <c r="E142">
        <f t="shared" si="13"/>
        <v>21</v>
      </c>
    </row>
    <row r="143" spans="1:5" x14ac:dyDescent="0.25">
      <c r="A143" s="13">
        <f t="shared" si="14"/>
        <v>45799</v>
      </c>
      <c r="B143">
        <f t="shared" si="10"/>
        <v>2025</v>
      </c>
      <c r="C143" t="str">
        <f t="shared" si="11"/>
        <v>May</v>
      </c>
      <c r="D143">
        <f t="shared" si="12"/>
        <v>5</v>
      </c>
      <c r="E143">
        <f t="shared" si="13"/>
        <v>22</v>
      </c>
    </row>
    <row r="144" spans="1:5" x14ac:dyDescent="0.25">
      <c r="A144" s="13">
        <f t="shared" si="14"/>
        <v>45800</v>
      </c>
      <c r="B144">
        <f t="shared" si="10"/>
        <v>2025</v>
      </c>
      <c r="C144" t="str">
        <f t="shared" si="11"/>
        <v>May</v>
      </c>
      <c r="D144">
        <f t="shared" si="12"/>
        <v>5</v>
      </c>
      <c r="E144">
        <f t="shared" si="13"/>
        <v>23</v>
      </c>
    </row>
    <row r="145" spans="1:5" x14ac:dyDescent="0.25">
      <c r="A145" s="13">
        <f t="shared" si="14"/>
        <v>45801</v>
      </c>
      <c r="B145">
        <f t="shared" si="10"/>
        <v>2025</v>
      </c>
      <c r="C145" t="str">
        <f t="shared" si="11"/>
        <v>May</v>
      </c>
      <c r="D145">
        <f t="shared" si="12"/>
        <v>5</v>
      </c>
      <c r="E145">
        <f t="shared" si="13"/>
        <v>24</v>
      </c>
    </row>
    <row r="146" spans="1:5" x14ac:dyDescent="0.25">
      <c r="A146" s="13">
        <f t="shared" si="14"/>
        <v>45802</v>
      </c>
      <c r="B146">
        <f t="shared" si="10"/>
        <v>2025</v>
      </c>
      <c r="C146" t="str">
        <f t="shared" si="11"/>
        <v>May</v>
      </c>
      <c r="D146">
        <f t="shared" si="12"/>
        <v>5</v>
      </c>
      <c r="E146">
        <f t="shared" si="13"/>
        <v>25</v>
      </c>
    </row>
    <row r="147" spans="1:5" x14ac:dyDescent="0.25">
      <c r="A147" s="13">
        <f t="shared" si="14"/>
        <v>45803</v>
      </c>
      <c r="B147">
        <f t="shared" si="10"/>
        <v>2025</v>
      </c>
      <c r="C147" t="str">
        <f t="shared" si="11"/>
        <v>May</v>
      </c>
      <c r="D147">
        <f t="shared" si="12"/>
        <v>5</v>
      </c>
      <c r="E147">
        <f t="shared" si="13"/>
        <v>26</v>
      </c>
    </row>
    <row r="148" spans="1:5" x14ac:dyDescent="0.25">
      <c r="A148" s="13">
        <f t="shared" si="14"/>
        <v>45804</v>
      </c>
      <c r="B148">
        <f t="shared" si="10"/>
        <v>2025</v>
      </c>
      <c r="C148" t="str">
        <f t="shared" si="11"/>
        <v>May</v>
      </c>
      <c r="D148">
        <f t="shared" si="12"/>
        <v>5</v>
      </c>
      <c r="E148">
        <f t="shared" si="13"/>
        <v>27</v>
      </c>
    </row>
    <row r="149" spans="1:5" x14ac:dyDescent="0.25">
      <c r="A149" s="13">
        <f t="shared" si="14"/>
        <v>45805</v>
      </c>
      <c r="B149">
        <f t="shared" si="10"/>
        <v>2025</v>
      </c>
      <c r="C149" t="str">
        <f t="shared" si="11"/>
        <v>May</v>
      </c>
      <c r="D149">
        <f t="shared" si="12"/>
        <v>5</v>
      </c>
      <c r="E149">
        <f t="shared" si="13"/>
        <v>28</v>
      </c>
    </row>
    <row r="150" spans="1:5" x14ac:dyDescent="0.25">
      <c r="A150" s="13">
        <f t="shared" si="14"/>
        <v>45806</v>
      </c>
      <c r="B150">
        <f t="shared" si="10"/>
        <v>2025</v>
      </c>
      <c r="C150" t="str">
        <f t="shared" si="11"/>
        <v>May</v>
      </c>
      <c r="D150">
        <f t="shared" si="12"/>
        <v>5</v>
      </c>
      <c r="E150">
        <f t="shared" si="13"/>
        <v>29</v>
      </c>
    </row>
    <row r="151" spans="1:5" x14ac:dyDescent="0.25">
      <c r="A151" s="13">
        <f t="shared" si="14"/>
        <v>45807</v>
      </c>
      <c r="B151">
        <f t="shared" si="10"/>
        <v>2025</v>
      </c>
      <c r="C151" t="str">
        <f t="shared" si="11"/>
        <v>May</v>
      </c>
      <c r="D151">
        <f t="shared" si="12"/>
        <v>5</v>
      </c>
      <c r="E151">
        <f t="shared" si="13"/>
        <v>30</v>
      </c>
    </row>
    <row r="152" spans="1:5" x14ac:dyDescent="0.25">
      <c r="A152" s="13">
        <f t="shared" si="14"/>
        <v>45808</v>
      </c>
      <c r="B152">
        <f t="shared" si="10"/>
        <v>2025</v>
      </c>
      <c r="C152" t="str">
        <f t="shared" si="11"/>
        <v>May</v>
      </c>
      <c r="D152">
        <f t="shared" si="12"/>
        <v>5</v>
      </c>
      <c r="E152">
        <f t="shared" si="13"/>
        <v>31</v>
      </c>
    </row>
    <row r="153" spans="1:5" x14ac:dyDescent="0.25">
      <c r="A153" s="13">
        <f t="shared" si="14"/>
        <v>45809</v>
      </c>
      <c r="B153">
        <f t="shared" si="10"/>
        <v>2025</v>
      </c>
      <c r="C153" t="str">
        <f t="shared" si="11"/>
        <v>Jun</v>
      </c>
      <c r="D153">
        <f t="shared" si="12"/>
        <v>6</v>
      </c>
      <c r="E153">
        <f t="shared" si="13"/>
        <v>1</v>
      </c>
    </row>
    <row r="154" spans="1:5" x14ac:dyDescent="0.25">
      <c r="A154" s="13">
        <f t="shared" si="14"/>
        <v>45810</v>
      </c>
      <c r="B154">
        <f t="shared" si="10"/>
        <v>2025</v>
      </c>
      <c r="C154" t="str">
        <f t="shared" si="11"/>
        <v>Jun</v>
      </c>
      <c r="D154">
        <f t="shared" si="12"/>
        <v>6</v>
      </c>
      <c r="E154">
        <f t="shared" si="13"/>
        <v>2</v>
      </c>
    </row>
    <row r="155" spans="1:5" x14ac:dyDescent="0.25">
      <c r="A155" s="13">
        <f t="shared" si="14"/>
        <v>45811</v>
      </c>
      <c r="B155">
        <f t="shared" si="10"/>
        <v>2025</v>
      </c>
      <c r="C155" t="str">
        <f t="shared" si="11"/>
        <v>Jun</v>
      </c>
      <c r="D155">
        <f t="shared" si="12"/>
        <v>6</v>
      </c>
      <c r="E155">
        <f t="shared" si="13"/>
        <v>3</v>
      </c>
    </row>
    <row r="156" spans="1:5" x14ac:dyDescent="0.25">
      <c r="A156" s="13">
        <f t="shared" si="14"/>
        <v>45812</v>
      </c>
      <c r="B156">
        <f t="shared" si="10"/>
        <v>2025</v>
      </c>
      <c r="C156" t="str">
        <f t="shared" si="11"/>
        <v>Jun</v>
      </c>
      <c r="D156">
        <f t="shared" si="12"/>
        <v>6</v>
      </c>
      <c r="E156">
        <f t="shared" si="13"/>
        <v>4</v>
      </c>
    </row>
    <row r="157" spans="1:5" x14ac:dyDescent="0.25">
      <c r="A157" s="13">
        <f t="shared" si="14"/>
        <v>45813</v>
      </c>
      <c r="B157">
        <f t="shared" si="10"/>
        <v>2025</v>
      </c>
      <c r="C157" t="str">
        <f t="shared" si="11"/>
        <v>Jun</v>
      </c>
      <c r="D157">
        <f t="shared" si="12"/>
        <v>6</v>
      </c>
      <c r="E157">
        <f t="shared" si="13"/>
        <v>5</v>
      </c>
    </row>
    <row r="158" spans="1:5" x14ac:dyDescent="0.25">
      <c r="A158" s="13">
        <f t="shared" si="14"/>
        <v>45814</v>
      </c>
      <c r="B158">
        <f t="shared" si="10"/>
        <v>2025</v>
      </c>
      <c r="C158" t="str">
        <f t="shared" si="11"/>
        <v>Jun</v>
      </c>
      <c r="D158">
        <f t="shared" si="12"/>
        <v>6</v>
      </c>
      <c r="E158">
        <f t="shared" si="13"/>
        <v>6</v>
      </c>
    </row>
    <row r="159" spans="1:5" x14ac:dyDescent="0.25">
      <c r="A159" s="13">
        <f t="shared" si="14"/>
        <v>45815</v>
      </c>
      <c r="B159">
        <f t="shared" si="10"/>
        <v>2025</v>
      </c>
      <c r="C159" t="str">
        <f t="shared" si="11"/>
        <v>Jun</v>
      </c>
      <c r="D159">
        <f t="shared" si="12"/>
        <v>6</v>
      </c>
      <c r="E159">
        <f t="shared" si="13"/>
        <v>7</v>
      </c>
    </row>
    <row r="160" spans="1:5" x14ac:dyDescent="0.25">
      <c r="A160" s="13">
        <f t="shared" si="14"/>
        <v>45816</v>
      </c>
      <c r="B160">
        <f t="shared" si="10"/>
        <v>2025</v>
      </c>
      <c r="C160" t="str">
        <f t="shared" si="11"/>
        <v>Jun</v>
      </c>
      <c r="D160">
        <f t="shared" si="12"/>
        <v>6</v>
      </c>
      <c r="E160">
        <f t="shared" si="13"/>
        <v>8</v>
      </c>
    </row>
    <row r="161" spans="1:5" x14ac:dyDescent="0.25">
      <c r="A161" s="13">
        <f t="shared" si="14"/>
        <v>45817</v>
      </c>
      <c r="B161">
        <f t="shared" si="10"/>
        <v>2025</v>
      </c>
      <c r="C161" t="str">
        <f t="shared" si="11"/>
        <v>Jun</v>
      </c>
      <c r="D161">
        <f t="shared" si="12"/>
        <v>6</v>
      </c>
      <c r="E161">
        <f t="shared" si="13"/>
        <v>9</v>
      </c>
    </row>
    <row r="162" spans="1:5" x14ac:dyDescent="0.25">
      <c r="A162" s="13">
        <f t="shared" si="14"/>
        <v>45818</v>
      </c>
      <c r="B162">
        <f t="shared" si="10"/>
        <v>2025</v>
      </c>
      <c r="C162" t="str">
        <f t="shared" si="11"/>
        <v>Jun</v>
      </c>
      <c r="D162">
        <f t="shared" si="12"/>
        <v>6</v>
      </c>
      <c r="E162">
        <f t="shared" si="13"/>
        <v>10</v>
      </c>
    </row>
    <row r="163" spans="1:5" x14ac:dyDescent="0.25">
      <c r="A163" s="13">
        <f t="shared" si="14"/>
        <v>45819</v>
      </c>
      <c r="B163">
        <f t="shared" si="10"/>
        <v>2025</v>
      </c>
      <c r="C163" t="str">
        <f t="shared" si="11"/>
        <v>Jun</v>
      </c>
      <c r="D163">
        <f t="shared" si="12"/>
        <v>6</v>
      </c>
      <c r="E163">
        <f t="shared" si="13"/>
        <v>11</v>
      </c>
    </row>
    <row r="164" spans="1:5" x14ac:dyDescent="0.25">
      <c r="A164" s="13">
        <f t="shared" si="14"/>
        <v>45820</v>
      </c>
      <c r="B164">
        <f t="shared" si="10"/>
        <v>2025</v>
      </c>
      <c r="C164" t="str">
        <f t="shared" si="11"/>
        <v>Jun</v>
      </c>
      <c r="D164">
        <f t="shared" si="12"/>
        <v>6</v>
      </c>
      <c r="E164">
        <f t="shared" si="13"/>
        <v>12</v>
      </c>
    </row>
    <row r="165" spans="1:5" x14ac:dyDescent="0.25">
      <c r="A165" s="13">
        <f t="shared" si="14"/>
        <v>45821</v>
      </c>
      <c r="B165">
        <f t="shared" si="10"/>
        <v>2025</v>
      </c>
      <c r="C165" t="str">
        <f t="shared" si="11"/>
        <v>Jun</v>
      </c>
      <c r="D165">
        <f t="shared" si="12"/>
        <v>6</v>
      </c>
      <c r="E165">
        <f t="shared" si="13"/>
        <v>13</v>
      </c>
    </row>
    <row r="166" spans="1:5" x14ac:dyDescent="0.25">
      <c r="A166" s="13">
        <f t="shared" si="14"/>
        <v>45822</v>
      </c>
      <c r="B166">
        <f t="shared" si="10"/>
        <v>2025</v>
      </c>
      <c r="C166" t="str">
        <f t="shared" si="11"/>
        <v>Jun</v>
      </c>
      <c r="D166">
        <f t="shared" si="12"/>
        <v>6</v>
      </c>
      <c r="E166">
        <f t="shared" si="13"/>
        <v>14</v>
      </c>
    </row>
    <row r="167" spans="1:5" x14ac:dyDescent="0.25">
      <c r="A167" s="13">
        <f t="shared" si="14"/>
        <v>45823</v>
      </c>
      <c r="B167">
        <f t="shared" si="10"/>
        <v>2025</v>
      </c>
      <c r="C167" t="str">
        <f t="shared" si="11"/>
        <v>Jun</v>
      </c>
      <c r="D167">
        <f t="shared" si="12"/>
        <v>6</v>
      </c>
      <c r="E167">
        <f t="shared" si="13"/>
        <v>15</v>
      </c>
    </row>
    <row r="168" spans="1:5" x14ac:dyDescent="0.25">
      <c r="A168" s="13">
        <f t="shared" si="14"/>
        <v>45824</v>
      </c>
      <c r="B168">
        <f t="shared" si="10"/>
        <v>2025</v>
      </c>
      <c r="C168" t="str">
        <f t="shared" si="11"/>
        <v>Jun</v>
      </c>
      <c r="D168">
        <f t="shared" si="12"/>
        <v>6</v>
      </c>
      <c r="E168">
        <f t="shared" si="13"/>
        <v>16</v>
      </c>
    </row>
    <row r="169" spans="1:5" x14ac:dyDescent="0.25">
      <c r="A169" s="13">
        <f t="shared" si="14"/>
        <v>45825</v>
      </c>
      <c r="B169">
        <f t="shared" si="10"/>
        <v>2025</v>
      </c>
      <c r="C169" t="str">
        <f t="shared" si="11"/>
        <v>Jun</v>
      </c>
      <c r="D169">
        <f t="shared" si="12"/>
        <v>6</v>
      </c>
      <c r="E169">
        <f t="shared" si="13"/>
        <v>17</v>
      </c>
    </row>
    <row r="170" spans="1:5" x14ac:dyDescent="0.25">
      <c r="A170" s="13">
        <f t="shared" si="14"/>
        <v>45826</v>
      </c>
      <c r="B170">
        <f t="shared" si="10"/>
        <v>2025</v>
      </c>
      <c r="C170" t="str">
        <f t="shared" si="11"/>
        <v>Jun</v>
      </c>
      <c r="D170">
        <f t="shared" si="12"/>
        <v>6</v>
      </c>
      <c r="E170">
        <f t="shared" si="13"/>
        <v>18</v>
      </c>
    </row>
    <row r="171" spans="1:5" x14ac:dyDescent="0.25">
      <c r="A171" s="13">
        <f t="shared" si="14"/>
        <v>45827</v>
      </c>
      <c r="B171">
        <f t="shared" si="10"/>
        <v>2025</v>
      </c>
      <c r="C171" t="str">
        <f t="shared" si="11"/>
        <v>Jun</v>
      </c>
      <c r="D171">
        <f t="shared" si="12"/>
        <v>6</v>
      </c>
      <c r="E171">
        <f t="shared" si="13"/>
        <v>19</v>
      </c>
    </row>
    <row r="172" spans="1:5" x14ac:dyDescent="0.25">
      <c r="A172" s="13">
        <f t="shared" si="14"/>
        <v>45828</v>
      </c>
      <c r="B172">
        <f t="shared" si="10"/>
        <v>2025</v>
      </c>
      <c r="C172" t="str">
        <f t="shared" si="11"/>
        <v>Jun</v>
      </c>
      <c r="D172">
        <f t="shared" si="12"/>
        <v>6</v>
      </c>
      <c r="E172">
        <f t="shared" si="13"/>
        <v>20</v>
      </c>
    </row>
    <row r="173" spans="1:5" x14ac:dyDescent="0.25">
      <c r="A173" s="13">
        <f t="shared" si="14"/>
        <v>45829</v>
      </c>
      <c r="B173">
        <f t="shared" si="10"/>
        <v>2025</v>
      </c>
      <c r="C173" t="str">
        <f t="shared" si="11"/>
        <v>Jun</v>
      </c>
      <c r="D173">
        <f t="shared" si="12"/>
        <v>6</v>
      </c>
      <c r="E173">
        <f t="shared" si="13"/>
        <v>21</v>
      </c>
    </row>
    <row r="174" spans="1:5" x14ac:dyDescent="0.25">
      <c r="A174" s="13">
        <f t="shared" si="14"/>
        <v>45830</v>
      </c>
      <c r="B174">
        <f t="shared" si="10"/>
        <v>2025</v>
      </c>
      <c r="C174" t="str">
        <f t="shared" si="11"/>
        <v>Jun</v>
      </c>
      <c r="D174">
        <f t="shared" si="12"/>
        <v>6</v>
      </c>
      <c r="E174">
        <f t="shared" si="13"/>
        <v>22</v>
      </c>
    </row>
    <row r="175" spans="1:5" x14ac:dyDescent="0.25">
      <c r="A175" s="13">
        <f t="shared" si="14"/>
        <v>45831</v>
      </c>
      <c r="B175">
        <f t="shared" si="10"/>
        <v>2025</v>
      </c>
      <c r="C175" t="str">
        <f t="shared" si="11"/>
        <v>Jun</v>
      </c>
      <c r="D175">
        <f t="shared" si="12"/>
        <v>6</v>
      </c>
      <c r="E175">
        <f t="shared" si="13"/>
        <v>23</v>
      </c>
    </row>
    <row r="176" spans="1:5" x14ac:dyDescent="0.25">
      <c r="A176" s="13">
        <f t="shared" si="14"/>
        <v>45832</v>
      </c>
      <c r="B176">
        <f t="shared" si="10"/>
        <v>2025</v>
      </c>
      <c r="C176" t="str">
        <f t="shared" si="11"/>
        <v>Jun</v>
      </c>
      <c r="D176">
        <f t="shared" si="12"/>
        <v>6</v>
      </c>
      <c r="E176">
        <f t="shared" si="13"/>
        <v>24</v>
      </c>
    </row>
    <row r="177" spans="1:5" x14ac:dyDescent="0.25">
      <c r="A177" s="13">
        <f t="shared" si="14"/>
        <v>45833</v>
      </c>
      <c r="B177">
        <f t="shared" si="10"/>
        <v>2025</v>
      </c>
      <c r="C177" t="str">
        <f t="shared" si="11"/>
        <v>Jun</v>
      </c>
      <c r="D177">
        <f t="shared" si="12"/>
        <v>6</v>
      </c>
      <c r="E177">
        <f t="shared" si="13"/>
        <v>25</v>
      </c>
    </row>
    <row r="178" spans="1:5" x14ac:dyDescent="0.25">
      <c r="A178" s="13">
        <f t="shared" si="14"/>
        <v>45834</v>
      </c>
      <c r="B178">
        <f t="shared" si="10"/>
        <v>2025</v>
      </c>
      <c r="C178" t="str">
        <f t="shared" si="11"/>
        <v>Jun</v>
      </c>
      <c r="D178">
        <f t="shared" si="12"/>
        <v>6</v>
      </c>
      <c r="E178">
        <f t="shared" si="13"/>
        <v>26</v>
      </c>
    </row>
    <row r="179" spans="1:5" x14ac:dyDescent="0.25">
      <c r="A179" s="13">
        <f t="shared" si="14"/>
        <v>45835</v>
      </c>
      <c r="B179">
        <f t="shared" si="10"/>
        <v>2025</v>
      </c>
      <c r="C179" t="str">
        <f t="shared" si="11"/>
        <v>Jun</v>
      </c>
      <c r="D179">
        <f t="shared" si="12"/>
        <v>6</v>
      </c>
      <c r="E179">
        <f t="shared" si="13"/>
        <v>27</v>
      </c>
    </row>
    <row r="180" spans="1:5" x14ac:dyDescent="0.25">
      <c r="A180" s="13">
        <f t="shared" si="14"/>
        <v>45836</v>
      </c>
      <c r="B180">
        <f t="shared" si="10"/>
        <v>2025</v>
      </c>
      <c r="C180" t="str">
        <f t="shared" si="11"/>
        <v>Jun</v>
      </c>
      <c r="D180">
        <f t="shared" si="12"/>
        <v>6</v>
      </c>
      <c r="E180">
        <f t="shared" si="13"/>
        <v>28</v>
      </c>
    </row>
    <row r="181" spans="1:5" x14ac:dyDescent="0.25">
      <c r="A181" s="13">
        <f t="shared" si="14"/>
        <v>45837</v>
      </c>
      <c r="B181">
        <f t="shared" si="10"/>
        <v>2025</v>
      </c>
      <c r="C181" t="str">
        <f t="shared" si="11"/>
        <v>Jun</v>
      </c>
      <c r="D181">
        <f t="shared" si="12"/>
        <v>6</v>
      </c>
      <c r="E181">
        <f t="shared" si="13"/>
        <v>29</v>
      </c>
    </row>
    <row r="182" spans="1:5" x14ac:dyDescent="0.25">
      <c r="A182" s="13">
        <f t="shared" si="14"/>
        <v>45838</v>
      </c>
      <c r="B182">
        <f t="shared" si="10"/>
        <v>2025</v>
      </c>
      <c r="C182" t="str">
        <f t="shared" si="11"/>
        <v>Jun</v>
      </c>
      <c r="D182">
        <f t="shared" si="12"/>
        <v>6</v>
      </c>
      <c r="E182">
        <f t="shared" si="13"/>
        <v>30</v>
      </c>
    </row>
    <row r="183" spans="1:5" x14ac:dyDescent="0.25">
      <c r="A183" s="13">
        <f t="shared" si="14"/>
        <v>45839</v>
      </c>
      <c r="B183">
        <f t="shared" si="10"/>
        <v>2025</v>
      </c>
      <c r="C183" t="str">
        <f t="shared" si="11"/>
        <v>Jul</v>
      </c>
      <c r="D183">
        <f t="shared" si="12"/>
        <v>7</v>
      </c>
      <c r="E183">
        <f t="shared" si="13"/>
        <v>1</v>
      </c>
    </row>
    <row r="184" spans="1:5" x14ac:dyDescent="0.25">
      <c r="A184" s="13">
        <f t="shared" si="14"/>
        <v>45840</v>
      </c>
      <c r="B184">
        <f t="shared" si="10"/>
        <v>2025</v>
      </c>
      <c r="C184" t="str">
        <f t="shared" si="11"/>
        <v>Jul</v>
      </c>
      <c r="D184">
        <f t="shared" si="12"/>
        <v>7</v>
      </c>
      <c r="E184">
        <f t="shared" si="13"/>
        <v>2</v>
      </c>
    </row>
    <row r="185" spans="1:5" x14ac:dyDescent="0.25">
      <c r="A185" s="13">
        <f t="shared" si="14"/>
        <v>45841</v>
      </c>
      <c r="B185">
        <f t="shared" si="10"/>
        <v>2025</v>
      </c>
      <c r="C185" t="str">
        <f t="shared" si="11"/>
        <v>Jul</v>
      </c>
      <c r="D185">
        <f t="shared" si="12"/>
        <v>7</v>
      </c>
      <c r="E185">
        <f t="shared" si="13"/>
        <v>3</v>
      </c>
    </row>
    <row r="186" spans="1:5" x14ac:dyDescent="0.25">
      <c r="A186" s="13">
        <f t="shared" si="14"/>
        <v>45842</v>
      </c>
      <c r="B186">
        <f t="shared" si="10"/>
        <v>2025</v>
      </c>
      <c r="C186" t="str">
        <f t="shared" si="11"/>
        <v>Jul</v>
      </c>
      <c r="D186">
        <f t="shared" si="12"/>
        <v>7</v>
      </c>
      <c r="E186">
        <f t="shared" si="13"/>
        <v>4</v>
      </c>
    </row>
    <row r="187" spans="1:5" x14ac:dyDescent="0.25">
      <c r="A187" s="13">
        <f t="shared" si="14"/>
        <v>45843</v>
      </c>
      <c r="B187">
        <f t="shared" si="10"/>
        <v>2025</v>
      </c>
      <c r="C187" t="str">
        <f t="shared" si="11"/>
        <v>Jul</v>
      </c>
      <c r="D187">
        <f t="shared" si="12"/>
        <v>7</v>
      </c>
      <c r="E187">
        <f t="shared" si="13"/>
        <v>5</v>
      </c>
    </row>
    <row r="188" spans="1:5" x14ac:dyDescent="0.25">
      <c r="A188" s="13">
        <f t="shared" si="14"/>
        <v>45844</v>
      </c>
      <c r="B188">
        <f t="shared" si="10"/>
        <v>2025</v>
      </c>
      <c r="C188" t="str">
        <f t="shared" si="11"/>
        <v>Jul</v>
      </c>
      <c r="D188">
        <f t="shared" si="12"/>
        <v>7</v>
      </c>
      <c r="E188">
        <f t="shared" si="13"/>
        <v>6</v>
      </c>
    </row>
    <row r="189" spans="1:5" x14ac:dyDescent="0.25">
      <c r="A189" s="13">
        <f t="shared" si="14"/>
        <v>45845</v>
      </c>
      <c r="B189">
        <f t="shared" si="10"/>
        <v>2025</v>
      </c>
      <c r="C189" t="str">
        <f t="shared" si="11"/>
        <v>Jul</v>
      </c>
      <c r="D189">
        <f t="shared" si="12"/>
        <v>7</v>
      </c>
      <c r="E189">
        <f t="shared" si="13"/>
        <v>7</v>
      </c>
    </row>
    <row r="190" spans="1:5" x14ac:dyDescent="0.25">
      <c r="A190" s="13">
        <f t="shared" si="14"/>
        <v>45846</v>
      </c>
      <c r="B190">
        <f t="shared" si="10"/>
        <v>2025</v>
      </c>
      <c r="C190" t="str">
        <f t="shared" si="11"/>
        <v>Jul</v>
      </c>
      <c r="D190">
        <f t="shared" si="12"/>
        <v>7</v>
      </c>
      <c r="E190">
        <f t="shared" si="13"/>
        <v>8</v>
      </c>
    </row>
    <row r="191" spans="1:5" x14ac:dyDescent="0.25">
      <c r="A191" s="13">
        <f t="shared" si="14"/>
        <v>45847</v>
      </c>
      <c r="B191">
        <f t="shared" si="10"/>
        <v>2025</v>
      </c>
      <c r="C191" t="str">
        <f t="shared" si="11"/>
        <v>Jul</v>
      </c>
      <c r="D191">
        <f t="shared" si="12"/>
        <v>7</v>
      </c>
      <c r="E191">
        <f t="shared" si="13"/>
        <v>9</v>
      </c>
    </row>
    <row r="192" spans="1:5" x14ac:dyDescent="0.25">
      <c r="A192" s="13">
        <f t="shared" si="14"/>
        <v>45848</v>
      </c>
      <c r="B192">
        <f t="shared" si="10"/>
        <v>2025</v>
      </c>
      <c r="C192" t="str">
        <f t="shared" si="11"/>
        <v>Jul</v>
      </c>
      <c r="D192">
        <f t="shared" si="12"/>
        <v>7</v>
      </c>
      <c r="E192">
        <f t="shared" si="13"/>
        <v>10</v>
      </c>
    </row>
    <row r="193" spans="1:5" x14ac:dyDescent="0.25">
      <c r="A193" s="13">
        <f t="shared" si="14"/>
        <v>45849</v>
      </c>
      <c r="B193">
        <f t="shared" si="10"/>
        <v>2025</v>
      </c>
      <c r="C193" t="str">
        <f t="shared" si="11"/>
        <v>Jul</v>
      </c>
      <c r="D193">
        <f t="shared" si="12"/>
        <v>7</v>
      </c>
      <c r="E193">
        <f t="shared" si="13"/>
        <v>11</v>
      </c>
    </row>
    <row r="194" spans="1:5" x14ac:dyDescent="0.25">
      <c r="A194" s="13">
        <f t="shared" si="14"/>
        <v>45850</v>
      </c>
      <c r="B194">
        <f t="shared" si="10"/>
        <v>2025</v>
      </c>
      <c r="C194" t="str">
        <f t="shared" si="11"/>
        <v>Jul</v>
      </c>
      <c r="D194">
        <f t="shared" si="12"/>
        <v>7</v>
      </c>
      <c r="E194">
        <f t="shared" si="13"/>
        <v>12</v>
      </c>
    </row>
    <row r="195" spans="1:5" x14ac:dyDescent="0.25">
      <c r="A195" s="13">
        <f t="shared" si="14"/>
        <v>45851</v>
      </c>
      <c r="B195">
        <f t="shared" ref="B195:B258" si="15">YEAR(A195)</f>
        <v>2025</v>
      </c>
      <c r="C195" t="str">
        <f t="shared" ref="C195:C258" si="16">TEXT(A195,"mmm")</f>
        <v>Jul</v>
      </c>
      <c r="D195">
        <f t="shared" ref="D195:D258" si="17">MONTH(A195)</f>
        <v>7</v>
      </c>
      <c r="E195">
        <f t="shared" ref="E195:E258" si="18">DAY(A195)</f>
        <v>13</v>
      </c>
    </row>
    <row r="196" spans="1:5" x14ac:dyDescent="0.25">
      <c r="A196" s="13">
        <f t="shared" ref="A196:A259" si="19">A195+1</f>
        <v>45852</v>
      </c>
      <c r="B196">
        <f t="shared" si="15"/>
        <v>2025</v>
      </c>
      <c r="C196" t="str">
        <f t="shared" si="16"/>
        <v>Jul</v>
      </c>
      <c r="D196">
        <f t="shared" si="17"/>
        <v>7</v>
      </c>
      <c r="E196">
        <f t="shared" si="18"/>
        <v>14</v>
      </c>
    </row>
    <row r="197" spans="1:5" x14ac:dyDescent="0.25">
      <c r="A197" s="13">
        <f t="shared" si="19"/>
        <v>45853</v>
      </c>
      <c r="B197">
        <f t="shared" si="15"/>
        <v>2025</v>
      </c>
      <c r="C197" t="str">
        <f t="shared" si="16"/>
        <v>Jul</v>
      </c>
      <c r="D197">
        <f t="shared" si="17"/>
        <v>7</v>
      </c>
      <c r="E197">
        <f t="shared" si="18"/>
        <v>15</v>
      </c>
    </row>
    <row r="198" spans="1:5" x14ac:dyDescent="0.25">
      <c r="A198" s="13">
        <f t="shared" si="19"/>
        <v>45854</v>
      </c>
      <c r="B198">
        <f t="shared" si="15"/>
        <v>2025</v>
      </c>
      <c r="C198" t="str">
        <f t="shared" si="16"/>
        <v>Jul</v>
      </c>
      <c r="D198">
        <f t="shared" si="17"/>
        <v>7</v>
      </c>
      <c r="E198">
        <f t="shared" si="18"/>
        <v>16</v>
      </c>
    </row>
    <row r="199" spans="1:5" x14ac:dyDescent="0.25">
      <c r="A199" s="13">
        <f t="shared" si="19"/>
        <v>45855</v>
      </c>
      <c r="B199">
        <f t="shared" si="15"/>
        <v>2025</v>
      </c>
      <c r="C199" t="str">
        <f t="shared" si="16"/>
        <v>Jul</v>
      </c>
      <c r="D199">
        <f t="shared" si="17"/>
        <v>7</v>
      </c>
      <c r="E199">
        <f t="shared" si="18"/>
        <v>17</v>
      </c>
    </row>
    <row r="200" spans="1:5" x14ac:dyDescent="0.25">
      <c r="A200" s="13">
        <f t="shared" si="19"/>
        <v>45856</v>
      </c>
      <c r="B200">
        <f t="shared" si="15"/>
        <v>2025</v>
      </c>
      <c r="C200" t="str">
        <f t="shared" si="16"/>
        <v>Jul</v>
      </c>
      <c r="D200">
        <f t="shared" si="17"/>
        <v>7</v>
      </c>
      <c r="E200">
        <f t="shared" si="18"/>
        <v>18</v>
      </c>
    </row>
    <row r="201" spans="1:5" x14ac:dyDescent="0.25">
      <c r="A201" s="13">
        <f t="shared" si="19"/>
        <v>45857</v>
      </c>
      <c r="B201">
        <f t="shared" si="15"/>
        <v>2025</v>
      </c>
      <c r="C201" t="str">
        <f t="shared" si="16"/>
        <v>Jul</v>
      </c>
      <c r="D201">
        <f t="shared" si="17"/>
        <v>7</v>
      </c>
      <c r="E201">
        <f t="shared" si="18"/>
        <v>19</v>
      </c>
    </row>
    <row r="202" spans="1:5" x14ac:dyDescent="0.25">
      <c r="A202" s="13">
        <f t="shared" si="19"/>
        <v>45858</v>
      </c>
      <c r="B202">
        <f t="shared" si="15"/>
        <v>2025</v>
      </c>
      <c r="C202" t="str">
        <f t="shared" si="16"/>
        <v>Jul</v>
      </c>
      <c r="D202">
        <f t="shared" si="17"/>
        <v>7</v>
      </c>
      <c r="E202">
        <f t="shared" si="18"/>
        <v>20</v>
      </c>
    </row>
    <row r="203" spans="1:5" x14ac:dyDescent="0.25">
      <c r="A203" s="13">
        <f t="shared" si="19"/>
        <v>45859</v>
      </c>
      <c r="B203">
        <f t="shared" si="15"/>
        <v>2025</v>
      </c>
      <c r="C203" t="str">
        <f t="shared" si="16"/>
        <v>Jul</v>
      </c>
      <c r="D203">
        <f t="shared" si="17"/>
        <v>7</v>
      </c>
      <c r="E203">
        <f t="shared" si="18"/>
        <v>21</v>
      </c>
    </row>
    <row r="204" spans="1:5" x14ac:dyDescent="0.25">
      <c r="A204" s="13">
        <f t="shared" si="19"/>
        <v>45860</v>
      </c>
      <c r="B204">
        <f t="shared" si="15"/>
        <v>2025</v>
      </c>
      <c r="C204" t="str">
        <f t="shared" si="16"/>
        <v>Jul</v>
      </c>
      <c r="D204">
        <f t="shared" si="17"/>
        <v>7</v>
      </c>
      <c r="E204">
        <f t="shared" si="18"/>
        <v>22</v>
      </c>
    </row>
    <row r="205" spans="1:5" x14ac:dyDescent="0.25">
      <c r="A205" s="13">
        <f t="shared" si="19"/>
        <v>45861</v>
      </c>
      <c r="B205">
        <f t="shared" si="15"/>
        <v>2025</v>
      </c>
      <c r="C205" t="str">
        <f t="shared" si="16"/>
        <v>Jul</v>
      </c>
      <c r="D205">
        <f t="shared" si="17"/>
        <v>7</v>
      </c>
      <c r="E205">
        <f t="shared" si="18"/>
        <v>23</v>
      </c>
    </row>
    <row r="206" spans="1:5" x14ac:dyDescent="0.25">
      <c r="A206" s="13">
        <f t="shared" si="19"/>
        <v>45862</v>
      </c>
      <c r="B206">
        <f t="shared" si="15"/>
        <v>2025</v>
      </c>
      <c r="C206" t="str">
        <f t="shared" si="16"/>
        <v>Jul</v>
      </c>
      <c r="D206">
        <f t="shared" si="17"/>
        <v>7</v>
      </c>
      <c r="E206">
        <f t="shared" si="18"/>
        <v>24</v>
      </c>
    </row>
    <row r="207" spans="1:5" x14ac:dyDescent="0.25">
      <c r="A207" s="13">
        <f t="shared" si="19"/>
        <v>45863</v>
      </c>
      <c r="B207">
        <f t="shared" si="15"/>
        <v>2025</v>
      </c>
      <c r="C207" t="str">
        <f t="shared" si="16"/>
        <v>Jul</v>
      </c>
      <c r="D207">
        <f t="shared" si="17"/>
        <v>7</v>
      </c>
      <c r="E207">
        <f t="shared" si="18"/>
        <v>25</v>
      </c>
    </row>
    <row r="208" spans="1:5" x14ac:dyDescent="0.25">
      <c r="A208" s="13">
        <f t="shared" si="19"/>
        <v>45864</v>
      </c>
      <c r="B208">
        <f t="shared" si="15"/>
        <v>2025</v>
      </c>
      <c r="C208" t="str">
        <f t="shared" si="16"/>
        <v>Jul</v>
      </c>
      <c r="D208">
        <f t="shared" si="17"/>
        <v>7</v>
      </c>
      <c r="E208">
        <f t="shared" si="18"/>
        <v>26</v>
      </c>
    </row>
    <row r="209" spans="1:5" x14ac:dyDescent="0.25">
      <c r="A209" s="13">
        <f t="shared" si="19"/>
        <v>45865</v>
      </c>
      <c r="B209">
        <f t="shared" si="15"/>
        <v>2025</v>
      </c>
      <c r="C209" t="str">
        <f t="shared" si="16"/>
        <v>Jul</v>
      </c>
      <c r="D209">
        <f t="shared" si="17"/>
        <v>7</v>
      </c>
      <c r="E209">
        <f t="shared" si="18"/>
        <v>27</v>
      </c>
    </row>
    <row r="210" spans="1:5" x14ac:dyDescent="0.25">
      <c r="A210" s="13">
        <f t="shared" si="19"/>
        <v>45866</v>
      </c>
      <c r="B210">
        <f t="shared" si="15"/>
        <v>2025</v>
      </c>
      <c r="C210" t="str">
        <f t="shared" si="16"/>
        <v>Jul</v>
      </c>
      <c r="D210">
        <f t="shared" si="17"/>
        <v>7</v>
      </c>
      <c r="E210">
        <f t="shared" si="18"/>
        <v>28</v>
      </c>
    </row>
    <row r="211" spans="1:5" x14ac:dyDescent="0.25">
      <c r="A211" s="13">
        <f t="shared" si="19"/>
        <v>45867</v>
      </c>
      <c r="B211">
        <f t="shared" si="15"/>
        <v>2025</v>
      </c>
      <c r="C211" t="str">
        <f t="shared" si="16"/>
        <v>Jul</v>
      </c>
      <c r="D211">
        <f t="shared" si="17"/>
        <v>7</v>
      </c>
      <c r="E211">
        <f t="shared" si="18"/>
        <v>29</v>
      </c>
    </row>
    <row r="212" spans="1:5" x14ac:dyDescent="0.25">
      <c r="A212" s="13">
        <f t="shared" si="19"/>
        <v>45868</v>
      </c>
      <c r="B212">
        <f t="shared" si="15"/>
        <v>2025</v>
      </c>
      <c r="C212" t="str">
        <f t="shared" si="16"/>
        <v>Jul</v>
      </c>
      <c r="D212">
        <f t="shared" si="17"/>
        <v>7</v>
      </c>
      <c r="E212">
        <f t="shared" si="18"/>
        <v>30</v>
      </c>
    </row>
    <row r="213" spans="1:5" x14ac:dyDescent="0.25">
      <c r="A213" s="13">
        <f t="shared" si="19"/>
        <v>45869</v>
      </c>
      <c r="B213">
        <f t="shared" si="15"/>
        <v>2025</v>
      </c>
      <c r="C213" t="str">
        <f t="shared" si="16"/>
        <v>Jul</v>
      </c>
      <c r="D213">
        <f t="shared" si="17"/>
        <v>7</v>
      </c>
      <c r="E213">
        <f t="shared" si="18"/>
        <v>31</v>
      </c>
    </row>
    <row r="214" spans="1:5" x14ac:dyDescent="0.25">
      <c r="A214" s="13">
        <f t="shared" si="19"/>
        <v>45870</v>
      </c>
      <c r="B214">
        <f t="shared" si="15"/>
        <v>2025</v>
      </c>
      <c r="C214" t="str">
        <f t="shared" si="16"/>
        <v>Aug</v>
      </c>
      <c r="D214">
        <f t="shared" si="17"/>
        <v>8</v>
      </c>
      <c r="E214">
        <f t="shared" si="18"/>
        <v>1</v>
      </c>
    </row>
    <row r="215" spans="1:5" x14ac:dyDescent="0.25">
      <c r="A215" s="13">
        <f t="shared" si="19"/>
        <v>45871</v>
      </c>
      <c r="B215">
        <f t="shared" si="15"/>
        <v>2025</v>
      </c>
      <c r="C215" t="str">
        <f t="shared" si="16"/>
        <v>Aug</v>
      </c>
      <c r="D215">
        <f t="shared" si="17"/>
        <v>8</v>
      </c>
      <c r="E215">
        <f t="shared" si="18"/>
        <v>2</v>
      </c>
    </row>
    <row r="216" spans="1:5" x14ac:dyDescent="0.25">
      <c r="A216" s="13">
        <f t="shared" si="19"/>
        <v>45872</v>
      </c>
      <c r="B216">
        <f t="shared" si="15"/>
        <v>2025</v>
      </c>
      <c r="C216" t="str">
        <f t="shared" si="16"/>
        <v>Aug</v>
      </c>
      <c r="D216">
        <f t="shared" si="17"/>
        <v>8</v>
      </c>
      <c r="E216">
        <f t="shared" si="18"/>
        <v>3</v>
      </c>
    </row>
    <row r="217" spans="1:5" x14ac:dyDescent="0.25">
      <c r="A217" s="13">
        <f t="shared" si="19"/>
        <v>45873</v>
      </c>
      <c r="B217">
        <f t="shared" si="15"/>
        <v>2025</v>
      </c>
      <c r="C217" t="str">
        <f t="shared" si="16"/>
        <v>Aug</v>
      </c>
      <c r="D217">
        <f t="shared" si="17"/>
        <v>8</v>
      </c>
      <c r="E217">
        <f t="shared" si="18"/>
        <v>4</v>
      </c>
    </row>
    <row r="218" spans="1:5" x14ac:dyDescent="0.25">
      <c r="A218" s="13">
        <f t="shared" si="19"/>
        <v>45874</v>
      </c>
      <c r="B218">
        <f t="shared" si="15"/>
        <v>2025</v>
      </c>
      <c r="C218" t="str">
        <f t="shared" si="16"/>
        <v>Aug</v>
      </c>
      <c r="D218">
        <f t="shared" si="17"/>
        <v>8</v>
      </c>
      <c r="E218">
        <f t="shared" si="18"/>
        <v>5</v>
      </c>
    </row>
    <row r="219" spans="1:5" x14ac:dyDescent="0.25">
      <c r="A219" s="13">
        <f t="shared" si="19"/>
        <v>45875</v>
      </c>
      <c r="B219">
        <f t="shared" si="15"/>
        <v>2025</v>
      </c>
      <c r="C219" t="str">
        <f t="shared" si="16"/>
        <v>Aug</v>
      </c>
      <c r="D219">
        <f t="shared" si="17"/>
        <v>8</v>
      </c>
      <c r="E219">
        <f t="shared" si="18"/>
        <v>6</v>
      </c>
    </row>
    <row r="220" spans="1:5" x14ac:dyDescent="0.25">
      <c r="A220" s="13">
        <f t="shared" si="19"/>
        <v>45876</v>
      </c>
      <c r="B220">
        <f t="shared" si="15"/>
        <v>2025</v>
      </c>
      <c r="C220" t="str">
        <f t="shared" si="16"/>
        <v>Aug</v>
      </c>
      <c r="D220">
        <f t="shared" si="17"/>
        <v>8</v>
      </c>
      <c r="E220">
        <f t="shared" si="18"/>
        <v>7</v>
      </c>
    </row>
    <row r="221" spans="1:5" x14ac:dyDescent="0.25">
      <c r="A221" s="13">
        <f t="shared" si="19"/>
        <v>45877</v>
      </c>
      <c r="B221">
        <f t="shared" si="15"/>
        <v>2025</v>
      </c>
      <c r="C221" t="str">
        <f t="shared" si="16"/>
        <v>Aug</v>
      </c>
      <c r="D221">
        <f t="shared" si="17"/>
        <v>8</v>
      </c>
      <c r="E221">
        <f t="shared" si="18"/>
        <v>8</v>
      </c>
    </row>
    <row r="222" spans="1:5" x14ac:dyDescent="0.25">
      <c r="A222" s="13">
        <f t="shared" si="19"/>
        <v>45878</v>
      </c>
      <c r="B222">
        <f t="shared" si="15"/>
        <v>2025</v>
      </c>
      <c r="C222" t="str">
        <f t="shared" si="16"/>
        <v>Aug</v>
      </c>
      <c r="D222">
        <f t="shared" si="17"/>
        <v>8</v>
      </c>
      <c r="E222">
        <f t="shared" si="18"/>
        <v>9</v>
      </c>
    </row>
    <row r="223" spans="1:5" x14ac:dyDescent="0.25">
      <c r="A223" s="13">
        <f t="shared" si="19"/>
        <v>45879</v>
      </c>
      <c r="B223">
        <f t="shared" si="15"/>
        <v>2025</v>
      </c>
      <c r="C223" t="str">
        <f t="shared" si="16"/>
        <v>Aug</v>
      </c>
      <c r="D223">
        <f t="shared" si="17"/>
        <v>8</v>
      </c>
      <c r="E223">
        <f t="shared" si="18"/>
        <v>10</v>
      </c>
    </row>
    <row r="224" spans="1:5" x14ac:dyDescent="0.25">
      <c r="A224" s="13">
        <f t="shared" si="19"/>
        <v>45880</v>
      </c>
      <c r="B224">
        <f t="shared" si="15"/>
        <v>2025</v>
      </c>
      <c r="C224" t="str">
        <f t="shared" si="16"/>
        <v>Aug</v>
      </c>
      <c r="D224">
        <f t="shared" si="17"/>
        <v>8</v>
      </c>
      <c r="E224">
        <f t="shared" si="18"/>
        <v>11</v>
      </c>
    </row>
    <row r="225" spans="1:5" x14ac:dyDescent="0.25">
      <c r="A225" s="13">
        <f t="shared" si="19"/>
        <v>45881</v>
      </c>
      <c r="B225">
        <f t="shared" si="15"/>
        <v>2025</v>
      </c>
      <c r="C225" t="str">
        <f t="shared" si="16"/>
        <v>Aug</v>
      </c>
      <c r="D225">
        <f t="shared" si="17"/>
        <v>8</v>
      </c>
      <c r="E225">
        <f t="shared" si="18"/>
        <v>12</v>
      </c>
    </row>
    <row r="226" spans="1:5" x14ac:dyDescent="0.25">
      <c r="A226" s="13">
        <f t="shared" si="19"/>
        <v>45882</v>
      </c>
      <c r="B226">
        <f t="shared" si="15"/>
        <v>2025</v>
      </c>
      <c r="C226" t="str">
        <f t="shared" si="16"/>
        <v>Aug</v>
      </c>
      <c r="D226">
        <f t="shared" si="17"/>
        <v>8</v>
      </c>
      <c r="E226">
        <f t="shared" si="18"/>
        <v>13</v>
      </c>
    </row>
    <row r="227" spans="1:5" x14ac:dyDescent="0.25">
      <c r="A227" s="13">
        <f t="shared" si="19"/>
        <v>45883</v>
      </c>
      <c r="B227">
        <f t="shared" si="15"/>
        <v>2025</v>
      </c>
      <c r="C227" t="str">
        <f t="shared" si="16"/>
        <v>Aug</v>
      </c>
      <c r="D227">
        <f t="shared" si="17"/>
        <v>8</v>
      </c>
      <c r="E227">
        <f t="shared" si="18"/>
        <v>14</v>
      </c>
    </row>
    <row r="228" spans="1:5" x14ac:dyDescent="0.25">
      <c r="A228" s="13">
        <f t="shared" si="19"/>
        <v>45884</v>
      </c>
      <c r="B228">
        <f t="shared" si="15"/>
        <v>2025</v>
      </c>
      <c r="C228" t="str">
        <f t="shared" si="16"/>
        <v>Aug</v>
      </c>
      <c r="D228">
        <f t="shared" si="17"/>
        <v>8</v>
      </c>
      <c r="E228">
        <f t="shared" si="18"/>
        <v>15</v>
      </c>
    </row>
    <row r="229" spans="1:5" x14ac:dyDescent="0.25">
      <c r="A229" s="13">
        <f t="shared" si="19"/>
        <v>45885</v>
      </c>
      <c r="B229">
        <f t="shared" si="15"/>
        <v>2025</v>
      </c>
      <c r="C229" t="str">
        <f t="shared" si="16"/>
        <v>Aug</v>
      </c>
      <c r="D229">
        <f t="shared" si="17"/>
        <v>8</v>
      </c>
      <c r="E229">
        <f t="shared" si="18"/>
        <v>16</v>
      </c>
    </row>
    <row r="230" spans="1:5" x14ac:dyDescent="0.25">
      <c r="A230" s="13">
        <f t="shared" si="19"/>
        <v>45886</v>
      </c>
      <c r="B230">
        <f t="shared" si="15"/>
        <v>2025</v>
      </c>
      <c r="C230" t="str">
        <f t="shared" si="16"/>
        <v>Aug</v>
      </c>
      <c r="D230">
        <f t="shared" si="17"/>
        <v>8</v>
      </c>
      <c r="E230">
        <f t="shared" si="18"/>
        <v>17</v>
      </c>
    </row>
    <row r="231" spans="1:5" x14ac:dyDescent="0.25">
      <c r="A231" s="13">
        <f t="shared" si="19"/>
        <v>45887</v>
      </c>
      <c r="B231">
        <f t="shared" si="15"/>
        <v>2025</v>
      </c>
      <c r="C231" t="str">
        <f t="shared" si="16"/>
        <v>Aug</v>
      </c>
      <c r="D231">
        <f t="shared" si="17"/>
        <v>8</v>
      </c>
      <c r="E231">
        <f t="shared" si="18"/>
        <v>18</v>
      </c>
    </row>
    <row r="232" spans="1:5" x14ac:dyDescent="0.25">
      <c r="A232" s="13">
        <f t="shared" si="19"/>
        <v>45888</v>
      </c>
      <c r="B232">
        <f t="shared" si="15"/>
        <v>2025</v>
      </c>
      <c r="C232" t="str">
        <f t="shared" si="16"/>
        <v>Aug</v>
      </c>
      <c r="D232">
        <f t="shared" si="17"/>
        <v>8</v>
      </c>
      <c r="E232">
        <f t="shared" si="18"/>
        <v>19</v>
      </c>
    </row>
    <row r="233" spans="1:5" x14ac:dyDescent="0.25">
      <c r="A233" s="13">
        <f t="shared" si="19"/>
        <v>45889</v>
      </c>
      <c r="B233">
        <f t="shared" si="15"/>
        <v>2025</v>
      </c>
      <c r="C233" t="str">
        <f t="shared" si="16"/>
        <v>Aug</v>
      </c>
      <c r="D233">
        <f t="shared" si="17"/>
        <v>8</v>
      </c>
      <c r="E233">
        <f t="shared" si="18"/>
        <v>20</v>
      </c>
    </row>
    <row r="234" spans="1:5" x14ac:dyDescent="0.25">
      <c r="A234" s="13">
        <f t="shared" si="19"/>
        <v>45890</v>
      </c>
      <c r="B234">
        <f t="shared" si="15"/>
        <v>2025</v>
      </c>
      <c r="C234" t="str">
        <f t="shared" si="16"/>
        <v>Aug</v>
      </c>
      <c r="D234">
        <f t="shared" si="17"/>
        <v>8</v>
      </c>
      <c r="E234">
        <f t="shared" si="18"/>
        <v>21</v>
      </c>
    </row>
    <row r="235" spans="1:5" x14ac:dyDescent="0.25">
      <c r="A235" s="13">
        <f t="shared" si="19"/>
        <v>45891</v>
      </c>
      <c r="B235">
        <f t="shared" si="15"/>
        <v>2025</v>
      </c>
      <c r="C235" t="str">
        <f t="shared" si="16"/>
        <v>Aug</v>
      </c>
      <c r="D235">
        <f t="shared" si="17"/>
        <v>8</v>
      </c>
      <c r="E235">
        <f t="shared" si="18"/>
        <v>22</v>
      </c>
    </row>
    <row r="236" spans="1:5" x14ac:dyDescent="0.25">
      <c r="A236" s="13">
        <f t="shared" si="19"/>
        <v>45892</v>
      </c>
      <c r="B236">
        <f t="shared" si="15"/>
        <v>2025</v>
      </c>
      <c r="C236" t="str">
        <f t="shared" si="16"/>
        <v>Aug</v>
      </c>
      <c r="D236">
        <f t="shared" si="17"/>
        <v>8</v>
      </c>
      <c r="E236">
        <f t="shared" si="18"/>
        <v>23</v>
      </c>
    </row>
    <row r="237" spans="1:5" x14ac:dyDescent="0.25">
      <c r="A237" s="13">
        <f t="shared" si="19"/>
        <v>45893</v>
      </c>
      <c r="B237">
        <f t="shared" si="15"/>
        <v>2025</v>
      </c>
      <c r="C237" t="str">
        <f t="shared" si="16"/>
        <v>Aug</v>
      </c>
      <c r="D237">
        <f t="shared" si="17"/>
        <v>8</v>
      </c>
      <c r="E237">
        <f t="shared" si="18"/>
        <v>24</v>
      </c>
    </row>
    <row r="238" spans="1:5" x14ac:dyDescent="0.25">
      <c r="A238" s="13">
        <f t="shared" si="19"/>
        <v>45894</v>
      </c>
      <c r="B238">
        <f t="shared" si="15"/>
        <v>2025</v>
      </c>
      <c r="C238" t="str">
        <f t="shared" si="16"/>
        <v>Aug</v>
      </c>
      <c r="D238">
        <f t="shared" si="17"/>
        <v>8</v>
      </c>
      <c r="E238">
        <f t="shared" si="18"/>
        <v>25</v>
      </c>
    </row>
    <row r="239" spans="1:5" x14ac:dyDescent="0.25">
      <c r="A239" s="13">
        <f t="shared" si="19"/>
        <v>45895</v>
      </c>
      <c r="B239">
        <f t="shared" si="15"/>
        <v>2025</v>
      </c>
      <c r="C239" t="str">
        <f t="shared" si="16"/>
        <v>Aug</v>
      </c>
      <c r="D239">
        <f t="shared" si="17"/>
        <v>8</v>
      </c>
      <c r="E239">
        <f t="shared" si="18"/>
        <v>26</v>
      </c>
    </row>
    <row r="240" spans="1:5" x14ac:dyDescent="0.25">
      <c r="A240" s="13">
        <f t="shared" si="19"/>
        <v>45896</v>
      </c>
      <c r="B240">
        <f t="shared" si="15"/>
        <v>2025</v>
      </c>
      <c r="C240" t="str">
        <f t="shared" si="16"/>
        <v>Aug</v>
      </c>
      <c r="D240">
        <f t="shared" si="17"/>
        <v>8</v>
      </c>
      <c r="E240">
        <f t="shared" si="18"/>
        <v>27</v>
      </c>
    </row>
    <row r="241" spans="1:5" x14ac:dyDescent="0.25">
      <c r="A241" s="13">
        <f t="shared" si="19"/>
        <v>45897</v>
      </c>
      <c r="B241">
        <f t="shared" si="15"/>
        <v>2025</v>
      </c>
      <c r="C241" t="str">
        <f t="shared" si="16"/>
        <v>Aug</v>
      </c>
      <c r="D241">
        <f t="shared" si="17"/>
        <v>8</v>
      </c>
      <c r="E241">
        <f t="shared" si="18"/>
        <v>28</v>
      </c>
    </row>
    <row r="242" spans="1:5" x14ac:dyDescent="0.25">
      <c r="A242" s="13">
        <f t="shared" si="19"/>
        <v>45898</v>
      </c>
      <c r="B242">
        <f t="shared" si="15"/>
        <v>2025</v>
      </c>
      <c r="C242" t="str">
        <f t="shared" si="16"/>
        <v>Aug</v>
      </c>
      <c r="D242">
        <f t="shared" si="17"/>
        <v>8</v>
      </c>
      <c r="E242">
        <f t="shared" si="18"/>
        <v>29</v>
      </c>
    </row>
    <row r="243" spans="1:5" x14ac:dyDescent="0.25">
      <c r="A243" s="13">
        <f t="shared" si="19"/>
        <v>45899</v>
      </c>
      <c r="B243">
        <f t="shared" si="15"/>
        <v>2025</v>
      </c>
      <c r="C243" t="str">
        <f t="shared" si="16"/>
        <v>Aug</v>
      </c>
      <c r="D243">
        <f t="shared" si="17"/>
        <v>8</v>
      </c>
      <c r="E243">
        <f t="shared" si="18"/>
        <v>30</v>
      </c>
    </row>
    <row r="244" spans="1:5" x14ac:dyDescent="0.25">
      <c r="A244" s="13">
        <f t="shared" si="19"/>
        <v>45900</v>
      </c>
      <c r="B244">
        <f t="shared" si="15"/>
        <v>2025</v>
      </c>
      <c r="C244" t="str">
        <f t="shared" si="16"/>
        <v>Aug</v>
      </c>
      <c r="D244">
        <f t="shared" si="17"/>
        <v>8</v>
      </c>
      <c r="E244">
        <f t="shared" si="18"/>
        <v>31</v>
      </c>
    </row>
    <row r="245" spans="1:5" x14ac:dyDescent="0.25">
      <c r="A245" s="13">
        <f t="shared" si="19"/>
        <v>45901</v>
      </c>
      <c r="B245">
        <f t="shared" si="15"/>
        <v>2025</v>
      </c>
      <c r="C245" t="str">
        <f t="shared" si="16"/>
        <v>Sep</v>
      </c>
      <c r="D245">
        <f t="shared" si="17"/>
        <v>9</v>
      </c>
      <c r="E245">
        <f t="shared" si="18"/>
        <v>1</v>
      </c>
    </row>
    <row r="246" spans="1:5" x14ac:dyDescent="0.25">
      <c r="A246" s="13">
        <f t="shared" si="19"/>
        <v>45902</v>
      </c>
      <c r="B246">
        <f t="shared" si="15"/>
        <v>2025</v>
      </c>
      <c r="C246" t="str">
        <f t="shared" si="16"/>
        <v>Sep</v>
      </c>
      <c r="D246">
        <f t="shared" si="17"/>
        <v>9</v>
      </c>
      <c r="E246">
        <f t="shared" si="18"/>
        <v>2</v>
      </c>
    </row>
    <row r="247" spans="1:5" x14ac:dyDescent="0.25">
      <c r="A247" s="13">
        <f t="shared" si="19"/>
        <v>45903</v>
      </c>
      <c r="B247">
        <f t="shared" si="15"/>
        <v>2025</v>
      </c>
      <c r="C247" t="str">
        <f t="shared" si="16"/>
        <v>Sep</v>
      </c>
      <c r="D247">
        <f t="shared" si="17"/>
        <v>9</v>
      </c>
      <c r="E247">
        <f t="shared" si="18"/>
        <v>3</v>
      </c>
    </row>
    <row r="248" spans="1:5" x14ac:dyDescent="0.25">
      <c r="A248" s="13">
        <f t="shared" si="19"/>
        <v>45904</v>
      </c>
      <c r="B248">
        <f t="shared" si="15"/>
        <v>2025</v>
      </c>
      <c r="C248" t="str">
        <f t="shared" si="16"/>
        <v>Sep</v>
      </c>
      <c r="D248">
        <f t="shared" si="17"/>
        <v>9</v>
      </c>
      <c r="E248">
        <f t="shared" si="18"/>
        <v>4</v>
      </c>
    </row>
    <row r="249" spans="1:5" x14ac:dyDescent="0.25">
      <c r="A249" s="13">
        <f t="shared" si="19"/>
        <v>45905</v>
      </c>
      <c r="B249">
        <f t="shared" si="15"/>
        <v>2025</v>
      </c>
      <c r="C249" t="str">
        <f t="shared" si="16"/>
        <v>Sep</v>
      </c>
      <c r="D249">
        <f t="shared" si="17"/>
        <v>9</v>
      </c>
      <c r="E249">
        <f t="shared" si="18"/>
        <v>5</v>
      </c>
    </row>
    <row r="250" spans="1:5" x14ac:dyDescent="0.25">
      <c r="A250" s="13">
        <f t="shared" si="19"/>
        <v>45906</v>
      </c>
      <c r="B250">
        <f t="shared" si="15"/>
        <v>2025</v>
      </c>
      <c r="C250" t="str">
        <f t="shared" si="16"/>
        <v>Sep</v>
      </c>
      <c r="D250">
        <f t="shared" si="17"/>
        <v>9</v>
      </c>
      <c r="E250">
        <f t="shared" si="18"/>
        <v>6</v>
      </c>
    </row>
    <row r="251" spans="1:5" x14ac:dyDescent="0.25">
      <c r="A251" s="13">
        <f t="shared" si="19"/>
        <v>45907</v>
      </c>
      <c r="B251">
        <f t="shared" si="15"/>
        <v>2025</v>
      </c>
      <c r="C251" t="str">
        <f t="shared" si="16"/>
        <v>Sep</v>
      </c>
      <c r="D251">
        <f t="shared" si="17"/>
        <v>9</v>
      </c>
      <c r="E251">
        <f t="shared" si="18"/>
        <v>7</v>
      </c>
    </row>
    <row r="252" spans="1:5" x14ac:dyDescent="0.25">
      <c r="A252" s="13">
        <f t="shared" si="19"/>
        <v>45908</v>
      </c>
      <c r="B252">
        <f t="shared" si="15"/>
        <v>2025</v>
      </c>
      <c r="C252" t="str">
        <f t="shared" si="16"/>
        <v>Sep</v>
      </c>
      <c r="D252">
        <f t="shared" si="17"/>
        <v>9</v>
      </c>
      <c r="E252">
        <f t="shared" si="18"/>
        <v>8</v>
      </c>
    </row>
    <row r="253" spans="1:5" x14ac:dyDescent="0.25">
      <c r="A253" s="13">
        <f t="shared" si="19"/>
        <v>45909</v>
      </c>
      <c r="B253">
        <f t="shared" si="15"/>
        <v>2025</v>
      </c>
      <c r="C253" t="str">
        <f t="shared" si="16"/>
        <v>Sep</v>
      </c>
      <c r="D253">
        <f t="shared" si="17"/>
        <v>9</v>
      </c>
      <c r="E253">
        <f t="shared" si="18"/>
        <v>9</v>
      </c>
    </row>
    <row r="254" spans="1:5" x14ac:dyDescent="0.25">
      <c r="A254" s="13">
        <f t="shared" si="19"/>
        <v>45910</v>
      </c>
      <c r="B254">
        <f t="shared" si="15"/>
        <v>2025</v>
      </c>
      <c r="C254" t="str">
        <f t="shared" si="16"/>
        <v>Sep</v>
      </c>
      <c r="D254">
        <f t="shared" si="17"/>
        <v>9</v>
      </c>
      <c r="E254">
        <f t="shared" si="18"/>
        <v>10</v>
      </c>
    </row>
    <row r="255" spans="1:5" x14ac:dyDescent="0.25">
      <c r="A255" s="13">
        <f t="shared" si="19"/>
        <v>45911</v>
      </c>
      <c r="B255">
        <f t="shared" si="15"/>
        <v>2025</v>
      </c>
      <c r="C255" t="str">
        <f t="shared" si="16"/>
        <v>Sep</v>
      </c>
      <c r="D255">
        <f t="shared" si="17"/>
        <v>9</v>
      </c>
      <c r="E255">
        <f t="shared" si="18"/>
        <v>11</v>
      </c>
    </row>
    <row r="256" spans="1:5" x14ac:dyDescent="0.25">
      <c r="A256" s="13">
        <f t="shared" si="19"/>
        <v>45912</v>
      </c>
      <c r="B256">
        <f t="shared" si="15"/>
        <v>2025</v>
      </c>
      <c r="C256" t="str">
        <f t="shared" si="16"/>
        <v>Sep</v>
      </c>
      <c r="D256">
        <f t="shared" si="17"/>
        <v>9</v>
      </c>
      <c r="E256">
        <f t="shared" si="18"/>
        <v>12</v>
      </c>
    </row>
    <row r="257" spans="1:5" x14ac:dyDescent="0.25">
      <c r="A257" s="13">
        <f t="shared" si="19"/>
        <v>45913</v>
      </c>
      <c r="B257">
        <f t="shared" si="15"/>
        <v>2025</v>
      </c>
      <c r="C257" t="str">
        <f t="shared" si="16"/>
        <v>Sep</v>
      </c>
      <c r="D257">
        <f t="shared" si="17"/>
        <v>9</v>
      </c>
      <c r="E257">
        <f t="shared" si="18"/>
        <v>13</v>
      </c>
    </row>
    <row r="258" spans="1:5" x14ac:dyDescent="0.25">
      <c r="A258" s="13">
        <f t="shared" si="19"/>
        <v>45914</v>
      </c>
      <c r="B258">
        <f t="shared" si="15"/>
        <v>2025</v>
      </c>
      <c r="C258" t="str">
        <f t="shared" si="16"/>
        <v>Sep</v>
      </c>
      <c r="D258">
        <f t="shared" si="17"/>
        <v>9</v>
      </c>
      <c r="E258">
        <f t="shared" si="18"/>
        <v>14</v>
      </c>
    </row>
    <row r="259" spans="1:5" x14ac:dyDescent="0.25">
      <c r="A259" s="13">
        <f t="shared" si="19"/>
        <v>45915</v>
      </c>
      <c r="B259">
        <f t="shared" ref="B259:B322" si="20">YEAR(A259)</f>
        <v>2025</v>
      </c>
      <c r="C259" t="str">
        <f t="shared" ref="C259:C322" si="21">TEXT(A259,"mmm")</f>
        <v>Sep</v>
      </c>
      <c r="D259">
        <f t="shared" ref="D259:D322" si="22">MONTH(A259)</f>
        <v>9</v>
      </c>
      <c r="E259">
        <f t="shared" ref="E259:E322" si="23">DAY(A259)</f>
        <v>15</v>
      </c>
    </row>
    <row r="260" spans="1:5" x14ac:dyDescent="0.25">
      <c r="A260" s="13">
        <f t="shared" ref="A260:A323" si="24">A259+1</f>
        <v>45916</v>
      </c>
      <c r="B260">
        <f t="shared" si="20"/>
        <v>2025</v>
      </c>
      <c r="C260" t="str">
        <f t="shared" si="21"/>
        <v>Sep</v>
      </c>
      <c r="D260">
        <f t="shared" si="22"/>
        <v>9</v>
      </c>
      <c r="E260">
        <f t="shared" si="23"/>
        <v>16</v>
      </c>
    </row>
    <row r="261" spans="1:5" x14ac:dyDescent="0.25">
      <c r="A261" s="13">
        <f t="shared" si="24"/>
        <v>45917</v>
      </c>
      <c r="B261">
        <f t="shared" si="20"/>
        <v>2025</v>
      </c>
      <c r="C261" t="str">
        <f t="shared" si="21"/>
        <v>Sep</v>
      </c>
      <c r="D261">
        <f t="shared" si="22"/>
        <v>9</v>
      </c>
      <c r="E261">
        <f t="shared" si="23"/>
        <v>17</v>
      </c>
    </row>
    <row r="262" spans="1:5" x14ac:dyDescent="0.25">
      <c r="A262" s="13">
        <f t="shared" si="24"/>
        <v>45918</v>
      </c>
      <c r="B262">
        <f t="shared" si="20"/>
        <v>2025</v>
      </c>
      <c r="C262" t="str">
        <f t="shared" si="21"/>
        <v>Sep</v>
      </c>
      <c r="D262">
        <f t="shared" si="22"/>
        <v>9</v>
      </c>
      <c r="E262">
        <f t="shared" si="23"/>
        <v>18</v>
      </c>
    </row>
    <row r="263" spans="1:5" x14ac:dyDescent="0.25">
      <c r="A263" s="13">
        <f t="shared" si="24"/>
        <v>45919</v>
      </c>
      <c r="B263">
        <f t="shared" si="20"/>
        <v>2025</v>
      </c>
      <c r="C263" t="str">
        <f t="shared" si="21"/>
        <v>Sep</v>
      </c>
      <c r="D263">
        <f t="shared" si="22"/>
        <v>9</v>
      </c>
      <c r="E263">
        <f t="shared" si="23"/>
        <v>19</v>
      </c>
    </row>
    <row r="264" spans="1:5" x14ac:dyDescent="0.25">
      <c r="A264" s="13">
        <f t="shared" si="24"/>
        <v>45920</v>
      </c>
      <c r="B264">
        <f t="shared" si="20"/>
        <v>2025</v>
      </c>
      <c r="C264" t="str">
        <f t="shared" si="21"/>
        <v>Sep</v>
      </c>
      <c r="D264">
        <f t="shared" si="22"/>
        <v>9</v>
      </c>
      <c r="E264">
        <f t="shared" si="23"/>
        <v>20</v>
      </c>
    </row>
    <row r="265" spans="1:5" x14ac:dyDescent="0.25">
      <c r="A265" s="13">
        <f t="shared" si="24"/>
        <v>45921</v>
      </c>
      <c r="B265">
        <f t="shared" si="20"/>
        <v>2025</v>
      </c>
      <c r="C265" t="str">
        <f t="shared" si="21"/>
        <v>Sep</v>
      </c>
      <c r="D265">
        <f t="shared" si="22"/>
        <v>9</v>
      </c>
      <c r="E265">
        <f t="shared" si="23"/>
        <v>21</v>
      </c>
    </row>
    <row r="266" spans="1:5" x14ac:dyDescent="0.25">
      <c r="A266" s="13">
        <f t="shared" si="24"/>
        <v>45922</v>
      </c>
      <c r="B266">
        <f t="shared" si="20"/>
        <v>2025</v>
      </c>
      <c r="C266" t="str">
        <f t="shared" si="21"/>
        <v>Sep</v>
      </c>
      <c r="D266">
        <f t="shared" si="22"/>
        <v>9</v>
      </c>
      <c r="E266">
        <f t="shared" si="23"/>
        <v>22</v>
      </c>
    </row>
    <row r="267" spans="1:5" x14ac:dyDescent="0.25">
      <c r="A267" s="13">
        <f t="shared" si="24"/>
        <v>45923</v>
      </c>
      <c r="B267">
        <f t="shared" si="20"/>
        <v>2025</v>
      </c>
      <c r="C267" t="str">
        <f t="shared" si="21"/>
        <v>Sep</v>
      </c>
      <c r="D267">
        <f t="shared" si="22"/>
        <v>9</v>
      </c>
      <c r="E267">
        <f t="shared" si="23"/>
        <v>23</v>
      </c>
    </row>
    <row r="268" spans="1:5" x14ac:dyDescent="0.25">
      <c r="A268" s="13">
        <f t="shared" si="24"/>
        <v>45924</v>
      </c>
      <c r="B268">
        <f t="shared" si="20"/>
        <v>2025</v>
      </c>
      <c r="C268" t="str">
        <f t="shared" si="21"/>
        <v>Sep</v>
      </c>
      <c r="D268">
        <f t="shared" si="22"/>
        <v>9</v>
      </c>
      <c r="E268">
        <f t="shared" si="23"/>
        <v>24</v>
      </c>
    </row>
    <row r="269" spans="1:5" x14ac:dyDescent="0.25">
      <c r="A269" s="13">
        <f t="shared" si="24"/>
        <v>45925</v>
      </c>
      <c r="B269">
        <f t="shared" si="20"/>
        <v>2025</v>
      </c>
      <c r="C269" t="str">
        <f t="shared" si="21"/>
        <v>Sep</v>
      </c>
      <c r="D269">
        <f t="shared" si="22"/>
        <v>9</v>
      </c>
      <c r="E269">
        <f t="shared" si="23"/>
        <v>25</v>
      </c>
    </row>
    <row r="270" spans="1:5" x14ac:dyDescent="0.25">
      <c r="A270" s="13">
        <f t="shared" si="24"/>
        <v>45926</v>
      </c>
      <c r="B270">
        <f t="shared" si="20"/>
        <v>2025</v>
      </c>
      <c r="C270" t="str">
        <f t="shared" si="21"/>
        <v>Sep</v>
      </c>
      <c r="D270">
        <f t="shared" si="22"/>
        <v>9</v>
      </c>
      <c r="E270">
        <f t="shared" si="23"/>
        <v>26</v>
      </c>
    </row>
    <row r="271" spans="1:5" x14ac:dyDescent="0.25">
      <c r="A271" s="13">
        <f t="shared" si="24"/>
        <v>45927</v>
      </c>
      <c r="B271">
        <f t="shared" si="20"/>
        <v>2025</v>
      </c>
      <c r="C271" t="str">
        <f t="shared" si="21"/>
        <v>Sep</v>
      </c>
      <c r="D271">
        <f t="shared" si="22"/>
        <v>9</v>
      </c>
      <c r="E271">
        <f t="shared" si="23"/>
        <v>27</v>
      </c>
    </row>
    <row r="272" spans="1:5" x14ac:dyDescent="0.25">
      <c r="A272" s="13">
        <f t="shared" si="24"/>
        <v>45928</v>
      </c>
      <c r="B272">
        <f t="shared" si="20"/>
        <v>2025</v>
      </c>
      <c r="C272" t="str">
        <f t="shared" si="21"/>
        <v>Sep</v>
      </c>
      <c r="D272">
        <f t="shared" si="22"/>
        <v>9</v>
      </c>
      <c r="E272">
        <f t="shared" si="23"/>
        <v>28</v>
      </c>
    </row>
    <row r="273" spans="1:5" x14ac:dyDescent="0.25">
      <c r="A273" s="13">
        <f t="shared" si="24"/>
        <v>45929</v>
      </c>
      <c r="B273">
        <f t="shared" si="20"/>
        <v>2025</v>
      </c>
      <c r="C273" t="str">
        <f t="shared" si="21"/>
        <v>Sep</v>
      </c>
      <c r="D273">
        <f t="shared" si="22"/>
        <v>9</v>
      </c>
      <c r="E273">
        <f t="shared" si="23"/>
        <v>29</v>
      </c>
    </row>
    <row r="274" spans="1:5" x14ac:dyDescent="0.25">
      <c r="A274" s="13">
        <f t="shared" si="24"/>
        <v>45930</v>
      </c>
      <c r="B274">
        <f t="shared" si="20"/>
        <v>2025</v>
      </c>
      <c r="C274" t="str">
        <f t="shared" si="21"/>
        <v>Sep</v>
      </c>
      <c r="D274">
        <f t="shared" si="22"/>
        <v>9</v>
      </c>
      <c r="E274">
        <f t="shared" si="23"/>
        <v>30</v>
      </c>
    </row>
    <row r="275" spans="1:5" x14ac:dyDescent="0.25">
      <c r="A275" s="13">
        <f t="shared" si="24"/>
        <v>45931</v>
      </c>
      <c r="B275">
        <f t="shared" si="20"/>
        <v>2025</v>
      </c>
      <c r="C275" t="str">
        <f t="shared" si="21"/>
        <v>Oct</v>
      </c>
      <c r="D275">
        <f t="shared" si="22"/>
        <v>10</v>
      </c>
      <c r="E275">
        <f t="shared" si="23"/>
        <v>1</v>
      </c>
    </row>
    <row r="276" spans="1:5" x14ac:dyDescent="0.25">
      <c r="A276" s="13">
        <f t="shared" si="24"/>
        <v>45932</v>
      </c>
      <c r="B276">
        <f t="shared" si="20"/>
        <v>2025</v>
      </c>
      <c r="C276" t="str">
        <f t="shared" si="21"/>
        <v>Oct</v>
      </c>
      <c r="D276">
        <f t="shared" si="22"/>
        <v>10</v>
      </c>
      <c r="E276">
        <f t="shared" si="23"/>
        <v>2</v>
      </c>
    </row>
    <row r="277" spans="1:5" x14ac:dyDescent="0.25">
      <c r="A277" s="13">
        <f t="shared" si="24"/>
        <v>45933</v>
      </c>
      <c r="B277">
        <f t="shared" si="20"/>
        <v>2025</v>
      </c>
      <c r="C277" t="str">
        <f t="shared" si="21"/>
        <v>Oct</v>
      </c>
      <c r="D277">
        <f t="shared" si="22"/>
        <v>10</v>
      </c>
      <c r="E277">
        <f t="shared" si="23"/>
        <v>3</v>
      </c>
    </row>
    <row r="278" spans="1:5" x14ac:dyDescent="0.25">
      <c r="A278" s="13">
        <f t="shared" si="24"/>
        <v>45934</v>
      </c>
      <c r="B278">
        <f t="shared" si="20"/>
        <v>2025</v>
      </c>
      <c r="C278" t="str">
        <f t="shared" si="21"/>
        <v>Oct</v>
      </c>
      <c r="D278">
        <f t="shared" si="22"/>
        <v>10</v>
      </c>
      <c r="E278">
        <f t="shared" si="23"/>
        <v>4</v>
      </c>
    </row>
    <row r="279" spans="1:5" x14ac:dyDescent="0.25">
      <c r="A279" s="13">
        <f t="shared" si="24"/>
        <v>45935</v>
      </c>
      <c r="B279">
        <f t="shared" si="20"/>
        <v>2025</v>
      </c>
      <c r="C279" t="str">
        <f t="shared" si="21"/>
        <v>Oct</v>
      </c>
      <c r="D279">
        <f t="shared" si="22"/>
        <v>10</v>
      </c>
      <c r="E279">
        <f t="shared" si="23"/>
        <v>5</v>
      </c>
    </row>
    <row r="280" spans="1:5" x14ac:dyDescent="0.25">
      <c r="A280" s="13">
        <f t="shared" si="24"/>
        <v>45936</v>
      </c>
      <c r="B280">
        <f t="shared" si="20"/>
        <v>2025</v>
      </c>
      <c r="C280" t="str">
        <f t="shared" si="21"/>
        <v>Oct</v>
      </c>
      <c r="D280">
        <f t="shared" si="22"/>
        <v>10</v>
      </c>
      <c r="E280">
        <f t="shared" si="23"/>
        <v>6</v>
      </c>
    </row>
    <row r="281" spans="1:5" x14ac:dyDescent="0.25">
      <c r="A281" s="13">
        <f t="shared" si="24"/>
        <v>45937</v>
      </c>
      <c r="B281">
        <f t="shared" si="20"/>
        <v>2025</v>
      </c>
      <c r="C281" t="str">
        <f t="shared" si="21"/>
        <v>Oct</v>
      </c>
      <c r="D281">
        <f t="shared" si="22"/>
        <v>10</v>
      </c>
      <c r="E281">
        <f t="shared" si="23"/>
        <v>7</v>
      </c>
    </row>
    <row r="282" spans="1:5" x14ac:dyDescent="0.25">
      <c r="A282" s="13">
        <f t="shared" si="24"/>
        <v>45938</v>
      </c>
      <c r="B282">
        <f t="shared" si="20"/>
        <v>2025</v>
      </c>
      <c r="C282" t="str">
        <f t="shared" si="21"/>
        <v>Oct</v>
      </c>
      <c r="D282">
        <f t="shared" si="22"/>
        <v>10</v>
      </c>
      <c r="E282">
        <f t="shared" si="23"/>
        <v>8</v>
      </c>
    </row>
    <row r="283" spans="1:5" x14ac:dyDescent="0.25">
      <c r="A283" s="13">
        <f t="shared" si="24"/>
        <v>45939</v>
      </c>
      <c r="B283">
        <f t="shared" si="20"/>
        <v>2025</v>
      </c>
      <c r="C283" t="str">
        <f t="shared" si="21"/>
        <v>Oct</v>
      </c>
      <c r="D283">
        <f t="shared" si="22"/>
        <v>10</v>
      </c>
      <c r="E283">
        <f t="shared" si="23"/>
        <v>9</v>
      </c>
    </row>
    <row r="284" spans="1:5" x14ac:dyDescent="0.25">
      <c r="A284" s="13">
        <f t="shared" si="24"/>
        <v>45940</v>
      </c>
      <c r="B284">
        <f t="shared" si="20"/>
        <v>2025</v>
      </c>
      <c r="C284" t="str">
        <f t="shared" si="21"/>
        <v>Oct</v>
      </c>
      <c r="D284">
        <f t="shared" si="22"/>
        <v>10</v>
      </c>
      <c r="E284">
        <f t="shared" si="23"/>
        <v>10</v>
      </c>
    </row>
    <row r="285" spans="1:5" x14ac:dyDescent="0.25">
      <c r="A285" s="13">
        <f t="shared" si="24"/>
        <v>45941</v>
      </c>
      <c r="B285">
        <f t="shared" si="20"/>
        <v>2025</v>
      </c>
      <c r="C285" t="str">
        <f t="shared" si="21"/>
        <v>Oct</v>
      </c>
      <c r="D285">
        <f t="shared" si="22"/>
        <v>10</v>
      </c>
      <c r="E285">
        <f t="shared" si="23"/>
        <v>11</v>
      </c>
    </row>
    <row r="286" spans="1:5" x14ac:dyDescent="0.25">
      <c r="A286" s="13">
        <f t="shared" si="24"/>
        <v>45942</v>
      </c>
      <c r="B286">
        <f t="shared" si="20"/>
        <v>2025</v>
      </c>
      <c r="C286" t="str">
        <f t="shared" si="21"/>
        <v>Oct</v>
      </c>
      <c r="D286">
        <f t="shared" si="22"/>
        <v>10</v>
      </c>
      <c r="E286">
        <f t="shared" si="23"/>
        <v>12</v>
      </c>
    </row>
    <row r="287" spans="1:5" x14ac:dyDescent="0.25">
      <c r="A287" s="13">
        <f t="shared" si="24"/>
        <v>45943</v>
      </c>
      <c r="B287">
        <f t="shared" si="20"/>
        <v>2025</v>
      </c>
      <c r="C287" t="str">
        <f t="shared" si="21"/>
        <v>Oct</v>
      </c>
      <c r="D287">
        <f t="shared" si="22"/>
        <v>10</v>
      </c>
      <c r="E287">
        <f t="shared" si="23"/>
        <v>13</v>
      </c>
    </row>
    <row r="288" spans="1:5" x14ac:dyDescent="0.25">
      <c r="A288" s="13">
        <f t="shared" si="24"/>
        <v>45944</v>
      </c>
      <c r="B288">
        <f t="shared" si="20"/>
        <v>2025</v>
      </c>
      <c r="C288" t="str">
        <f t="shared" si="21"/>
        <v>Oct</v>
      </c>
      <c r="D288">
        <f t="shared" si="22"/>
        <v>10</v>
      </c>
      <c r="E288">
        <f t="shared" si="23"/>
        <v>14</v>
      </c>
    </row>
    <row r="289" spans="1:5" x14ac:dyDescent="0.25">
      <c r="A289" s="13">
        <f t="shared" si="24"/>
        <v>45945</v>
      </c>
      <c r="B289">
        <f t="shared" si="20"/>
        <v>2025</v>
      </c>
      <c r="C289" t="str">
        <f t="shared" si="21"/>
        <v>Oct</v>
      </c>
      <c r="D289">
        <f t="shared" si="22"/>
        <v>10</v>
      </c>
      <c r="E289">
        <f t="shared" si="23"/>
        <v>15</v>
      </c>
    </row>
    <row r="290" spans="1:5" x14ac:dyDescent="0.25">
      <c r="A290" s="13">
        <f t="shared" si="24"/>
        <v>45946</v>
      </c>
      <c r="B290">
        <f t="shared" si="20"/>
        <v>2025</v>
      </c>
      <c r="C290" t="str">
        <f t="shared" si="21"/>
        <v>Oct</v>
      </c>
      <c r="D290">
        <f t="shared" si="22"/>
        <v>10</v>
      </c>
      <c r="E290">
        <f t="shared" si="23"/>
        <v>16</v>
      </c>
    </row>
    <row r="291" spans="1:5" x14ac:dyDescent="0.25">
      <c r="A291" s="13">
        <f t="shared" si="24"/>
        <v>45947</v>
      </c>
      <c r="B291">
        <f t="shared" si="20"/>
        <v>2025</v>
      </c>
      <c r="C291" t="str">
        <f t="shared" si="21"/>
        <v>Oct</v>
      </c>
      <c r="D291">
        <f t="shared" si="22"/>
        <v>10</v>
      </c>
      <c r="E291">
        <f t="shared" si="23"/>
        <v>17</v>
      </c>
    </row>
    <row r="292" spans="1:5" x14ac:dyDescent="0.25">
      <c r="A292" s="13">
        <f t="shared" si="24"/>
        <v>45948</v>
      </c>
      <c r="B292">
        <f t="shared" si="20"/>
        <v>2025</v>
      </c>
      <c r="C292" t="str">
        <f t="shared" si="21"/>
        <v>Oct</v>
      </c>
      <c r="D292">
        <f t="shared" si="22"/>
        <v>10</v>
      </c>
      <c r="E292">
        <f t="shared" si="23"/>
        <v>18</v>
      </c>
    </row>
    <row r="293" spans="1:5" x14ac:dyDescent="0.25">
      <c r="A293" s="13">
        <f t="shared" si="24"/>
        <v>45949</v>
      </c>
      <c r="B293">
        <f t="shared" si="20"/>
        <v>2025</v>
      </c>
      <c r="C293" t="str">
        <f t="shared" si="21"/>
        <v>Oct</v>
      </c>
      <c r="D293">
        <f t="shared" si="22"/>
        <v>10</v>
      </c>
      <c r="E293">
        <f t="shared" si="23"/>
        <v>19</v>
      </c>
    </row>
    <row r="294" spans="1:5" x14ac:dyDescent="0.25">
      <c r="A294" s="13">
        <f t="shared" si="24"/>
        <v>45950</v>
      </c>
      <c r="B294">
        <f t="shared" si="20"/>
        <v>2025</v>
      </c>
      <c r="C294" t="str">
        <f t="shared" si="21"/>
        <v>Oct</v>
      </c>
      <c r="D294">
        <f t="shared" si="22"/>
        <v>10</v>
      </c>
      <c r="E294">
        <f t="shared" si="23"/>
        <v>20</v>
      </c>
    </row>
    <row r="295" spans="1:5" x14ac:dyDescent="0.25">
      <c r="A295" s="13">
        <f t="shared" si="24"/>
        <v>45951</v>
      </c>
      <c r="B295">
        <f t="shared" si="20"/>
        <v>2025</v>
      </c>
      <c r="C295" t="str">
        <f t="shared" si="21"/>
        <v>Oct</v>
      </c>
      <c r="D295">
        <f t="shared" si="22"/>
        <v>10</v>
      </c>
      <c r="E295">
        <f t="shared" si="23"/>
        <v>21</v>
      </c>
    </row>
    <row r="296" spans="1:5" x14ac:dyDescent="0.25">
      <c r="A296" s="13">
        <f t="shared" si="24"/>
        <v>45952</v>
      </c>
      <c r="B296">
        <f t="shared" si="20"/>
        <v>2025</v>
      </c>
      <c r="C296" t="str">
        <f t="shared" si="21"/>
        <v>Oct</v>
      </c>
      <c r="D296">
        <f t="shared" si="22"/>
        <v>10</v>
      </c>
      <c r="E296">
        <f t="shared" si="23"/>
        <v>22</v>
      </c>
    </row>
    <row r="297" spans="1:5" x14ac:dyDescent="0.25">
      <c r="A297" s="13">
        <f t="shared" si="24"/>
        <v>45953</v>
      </c>
      <c r="B297">
        <f t="shared" si="20"/>
        <v>2025</v>
      </c>
      <c r="C297" t="str">
        <f t="shared" si="21"/>
        <v>Oct</v>
      </c>
      <c r="D297">
        <f t="shared" si="22"/>
        <v>10</v>
      </c>
      <c r="E297">
        <f t="shared" si="23"/>
        <v>23</v>
      </c>
    </row>
    <row r="298" spans="1:5" x14ac:dyDescent="0.25">
      <c r="A298" s="13">
        <f t="shared" si="24"/>
        <v>45954</v>
      </c>
      <c r="B298">
        <f t="shared" si="20"/>
        <v>2025</v>
      </c>
      <c r="C298" t="str">
        <f t="shared" si="21"/>
        <v>Oct</v>
      </c>
      <c r="D298">
        <f t="shared" si="22"/>
        <v>10</v>
      </c>
      <c r="E298">
        <f t="shared" si="23"/>
        <v>24</v>
      </c>
    </row>
    <row r="299" spans="1:5" x14ac:dyDescent="0.25">
      <c r="A299" s="13">
        <f t="shared" si="24"/>
        <v>45955</v>
      </c>
      <c r="B299">
        <f t="shared" si="20"/>
        <v>2025</v>
      </c>
      <c r="C299" t="str">
        <f t="shared" si="21"/>
        <v>Oct</v>
      </c>
      <c r="D299">
        <f t="shared" si="22"/>
        <v>10</v>
      </c>
      <c r="E299">
        <f t="shared" si="23"/>
        <v>25</v>
      </c>
    </row>
    <row r="300" spans="1:5" x14ac:dyDescent="0.25">
      <c r="A300" s="13">
        <f t="shared" si="24"/>
        <v>45956</v>
      </c>
      <c r="B300">
        <f t="shared" si="20"/>
        <v>2025</v>
      </c>
      <c r="C300" t="str">
        <f t="shared" si="21"/>
        <v>Oct</v>
      </c>
      <c r="D300">
        <f t="shared" si="22"/>
        <v>10</v>
      </c>
      <c r="E300">
        <f t="shared" si="23"/>
        <v>26</v>
      </c>
    </row>
    <row r="301" spans="1:5" x14ac:dyDescent="0.25">
      <c r="A301" s="13">
        <f t="shared" si="24"/>
        <v>45957</v>
      </c>
      <c r="B301">
        <f t="shared" si="20"/>
        <v>2025</v>
      </c>
      <c r="C301" t="str">
        <f t="shared" si="21"/>
        <v>Oct</v>
      </c>
      <c r="D301">
        <f t="shared" si="22"/>
        <v>10</v>
      </c>
      <c r="E301">
        <f t="shared" si="23"/>
        <v>27</v>
      </c>
    </row>
    <row r="302" spans="1:5" x14ac:dyDescent="0.25">
      <c r="A302" s="13">
        <f t="shared" si="24"/>
        <v>45958</v>
      </c>
      <c r="B302">
        <f t="shared" si="20"/>
        <v>2025</v>
      </c>
      <c r="C302" t="str">
        <f t="shared" si="21"/>
        <v>Oct</v>
      </c>
      <c r="D302">
        <f t="shared" si="22"/>
        <v>10</v>
      </c>
      <c r="E302">
        <f t="shared" si="23"/>
        <v>28</v>
      </c>
    </row>
    <row r="303" spans="1:5" x14ac:dyDescent="0.25">
      <c r="A303" s="13">
        <f t="shared" si="24"/>
        <v>45959</v>
      </c>
      <c r="B303">
        <f t="shared" si="20"/>
        <v>2025</v>
      </c>
      <c r="C303" t="str">
        <f t="shared" si="21"/>
        <v>Oct</v>
      </c>
      <c r="D303">
        <f t="shared" si="22"/>
        <v>10</v>
      </c>
      <c r="E303">
        <f t="shared" si="23"/>
        <v>29</v>
      </c>
    </row>
    <row r="304" spans="1:5" x14ac:dyDescent="0.25">
      <c r="A304" s="13">
        <f t="shared" si="24"/>
        <v>45960</v>
      </c>
      <c r="B304">
        <f t="shared" si="20"/>
        <v>2025</v>
      </c>
      <c r="C304" t="str">
        <f t="shared" si="21"/>
        <v>Oct</v>
      </c>
      <c r="D304">
        <f t="shared" si="22"/>
        <v>10</v>
      </c>
      <c r="E304">
        <f t="shared" si="23"/>
        <v>30</v>
      </c>
    </row>
    <row r="305" spans="1:5" x14ac:dyDescent="0.25">
      <c r="A305" s="13">
        <f t="shared" si="24"/>
        <v>45961</v>
      </c>
      <c r="B305">
        <f t="shared" si="20"/>
        <v>2025</v>
      </c>
      <c r="C305" t="str">
        <f t="shared" si="21"/>
        <v>Oct</v>
      </c>
      <c r="D305">
        <f t="shared" si="22"/>
        <v>10</v>
      </c>
      <c r="E305">
        <f t="shared" si="23"/>
        <v>31</v>
      </c>
    </row>
    <row r="306" spans="1:5" x14ac:dyDescent="0.25">
      <c r="A306" s="13">
        <f t="shared" si="24"/>
        <v>45962</v>
      </c>
      <c r="B306">
        <f t="shared" si="20"/>
        <v>2025</v>
      </c>
      <c r="C306" t="str">
        <f t="shared" si="21"/>
        <v>Nov</v>
      </c>
      <c r="D306">
        <f t="shared" si="22"/>
        <v>11</v>
      </c>
      <c r="E306">
        <f t="shared" si="23"/>
        <v>1</v>
      </c>
    </row>
    <row r="307" spans="1:5" x14ac:dyDescent="0.25">
      <c r="A307" s="13">
        <f t="shared" si="24"/>
        <v>45963</v>
      </c>
      <c r="B307">
        <f t="shared" si="20"/>
        <v>2025</v>
      </c>
      <c r="C307" t="str">
        <f t="shared" si="21"/>
        <v>Nov</v>
      </c>
      <c r="D307">
        <f t="shared" si="22"/>
        <v>11</v>
      </c>
      <c r="E307">
        <f t="shared" si="23"/>
        <v>2</v>
      </c>
    </row>
    <row r="308" spans="1:5" x14ac:dyDescent="0.25">
      <c r="A308" s="13">
        <f t="shared" si="24"/>
        <v>45964</v>
      </c>
      <c r="B308">
        <f t="shared" si="20"/>
        <v>2025</v>
      </c>
      <c r="C308" t="str">
        <f t="shared" si="21"/>
        <v>Nov</v>
      </c>
      <c r="D308">
        <f t="shared" si="22"/>
        <v>11</v>
      </c>
      <c r="E308">
        <f t="shared" si="23"/>
        <v>3</v>
      </c>
    </row>
    <row r="309" spans="1:5" x14ac:dyDescent="0.25">
      <c r="A309" s="13">
        <f t="shared" si="24"/>
        <v>45965</v>
      </c>
      <c r="B309">
        <f t="shared" si="20"/>
        <v>2025</v>
      </c>
      <c r="C309" t="str">
        <f t="shared" si="21"/>
        <v>Nov</v>
      </c>
      <c r="D309">
        <f t="shared" si="22"/>
        <v>11</v>
      </c>
      <c r="E309">
        <f t="shared" si="23"/>
        <v>4</v>
      </c>
    </row>
    <row r="310" spans="1:5" x14ac:dyDescent="0.25">
      <c r="A310" s="13">
        <f t="shared" si="24"/>
        <v>45966</v>
      </c>
      <c r="B310">
        <f t="shared" si="20"/>
        <v>2025</v>
      </c>
      <c r="C310" t="str">
        <f t="shared" si="21"/>
        <v>Nov</v>
      </c>
      <c r="D310">
        <f t="shared" si="22"/>
        <v>11</v>
      </c>
      <c r="E310">
        <f t="shared" si="23"/>
        <v>5</v>
      </c>
    </row>
    <row r="311" spans="1:5" x14ac:dyDescent="0.25">
      <c r="A311" s="13">
        <f t="shared" si="24"/>
        <v>45967</v>
      </c>
      <c r="B311">
        <f t="shared" si="20"/>
        <v>2025</v>
      </c>
      <c r="C311" t="str">
        <f t="shared" si="21"/>
        <v>Nov</v>
      </c>
      <c r="D311">
        <f t="shared" si="22"/>
        <v>11</v>
      </c>
      <c r="E311">
        <f t="shared" si="23"/>
        <v>6</v>
      </c>
    </row>
    <row r="312" spans="1:5" x14ac:dyDescent="0.25">
      <c r="A312" s="13">
        <f t="shared" si="24"/>
        <v>45968</v>
      </c>
      <c r="B312">
        <f t="shared" si="20"/>
        <v>2025</v>
      </c>
      <c r="C312" t="str">
        <f t="shared" si="21"/>
        <v>Nov</v>
      </c>
      <c r="D312">
        <f t="shared" si="22"/>
        <v>11</v>
      </c>
      <c r="E312">
        <f t="shared" si="23"/>
        <v>7</v>
      </c>
    </row>
    <row r="313" spans="1:5" x14ac:dyDescent="0.25">
      <c r="A313" s="13">
        <f t="shared" si="24"/>
        <v>45969</v>
      </c>
      <c r="B313">
        <f t="shared" si="20"/>
        <v>2025</v>
      </c>
      <c r="C313" t="str">
        <f t="shared" si="21"/>
        <v>Nov</v>
      </c>
      <c r="D313">
        <f t="shared" si="22"/>
        <v>11</v>
      </c>
      <c r="E313">
        <f t="shared" si="23"/>
        <v>8</v>
      </c>
    </row>
    <row r="314" spans="1:5" x14ac:dyDescent="0.25">
      <c r="A314" s="13">
        <f t="shared" si="24"/>
        <v>45970</v>
      </c>
      <c r="B314">
        <f t="shared" si="20"/>
        <v>2025</v>
      </c>
      <c r="C314" t="str">
        <f t="shared" si="21"/>
        <v>Nov</v>
      </c>
      <c r="D314">
        <f t="shared" si="22"/>
        <v>11</v>
      </c>
      <c r="E314">
        <f t="shared" si="23"/>
        <v>9</v>
      </c>
    </row>
    <row r="315" spans="1:5" x14ac:dyDescent="0.25">
      <c r="A315" s="13">
        <f t="shared" si="24"/>
        <v>45971</v>
      </c>
      <c r="B315">
        <f t="shared" si="20"/>
        <v>2025</v>
      </c>
      <c r="C315" t="str">
        <f t="shared" si="21"/>
        <v>Nov</v>
      </c>
      <c r="D315">
        <f t="shared" si="22"/>
        <v>11</v>
      </c>
      <c r="E315">
        <f t="shared" si="23"/>
        <v>10</v>
      </c>
    </row>
    <row r="316" spans="1:5" x14ac:dyDescent="0.25">
      <c r="A316" s="13">
        <f t="shared" si="24"/>
        <v>45972</v>
      </c>
      <c r="B316">
        <f t="shared" si="20"/>
        <v>2025</v>
      </c>
      <c r="C316" t="str">
        <f t="shared" si="21"/>
        <v>Nov</v>
      </c>
      <c r="D316">
        <f t="shared" si="22"/>
        <v>11</v>
      </c>
      <c r="E316">
        <f t="shared" si="23"/>
        <v>11</v>
      </c>
    </row>
    <row r="317" spans="1:5" x14ac:dyDescent="0.25">
      <c r="A317" s="13">
        <f t="shared" si="24"/>
        <v>45973</v>
      </c>
      <c r="B317">
        <f t="shared" si="20"/>
        <v>2025</v>
      </c>
      <c r="C317" t="str">
        <f t="shared" si="21"/>
        <v>Nov</v>
      </c>
      <c r="D317">
        <f t="shared" si="22"/>
        <v>11</v>
      </c>
      <c r="E317">
        <f t="shared" si="23"/>
        <v>12</v>
      </c>
    </row>
    <row r="318" spans="1:5" x14ac:dyDescent="0.25">
      <c r="A318" s="13">
        <f t="shared" si="24"/>
        <v>45974</v>
      </c>
      <c r="B318">
        <f t="shared" si="20"/>
        <v>2025</v>
      </c>
      <c r="C318" t="str">
        <f t="shared" si="21"/>
        <v>Nov</v>
      </c>
      <c r="D318">
        <f t="shared" si="22"/>
        <v>11</v>
      </c>
      <c r="E318">
        <f t="shared" si="23"/>
        <v>13</v>
      </c>
    </row>
    <row r="319" spans="1:5" x14ac:dyDescent="0.25">
      <c r="A319" s="13">
        <f t="shared" si="24"/>
        <v>45975</v>
      </c>
      <c r="B319">
        <f t="shared" si="20"/>
        <v>2025</v>
      </c>
      <c r="C319" t="str">
        <f t="shared" si="21"/>
        <v>Nov</v>
      </c>
      <c r="D319">
        <f t="shared" si="22"/>
        <v>11</v>
      </c>
      <c r="E319">
        <f t="shared" si="23"/>
        <v>14</v>
      </c>
    </row>
    <row r="320" spans="1:5" x14ac:dyDescent="0.25">
      <c r="A320" s="13">
        <f t="shared" si="24"/>
        <v>45976</v>
      </c>
      <c r="B320">
        <f t="shared" si="20"/>
        <v>2025</v>
      </c>
      <c r="C320" t="str">
        <f t="shared" si="21"/>
        <v>Nov</v>
      </c>
      <c r="D320">
        <f t="shared" si="22"/>
        <v>11</v>
      </c>
      <c r="E320">
        <f t="shared" si="23"/>
        <v>15</v>
      </c>
    </row>
    <row r="321" spans="1:5" x14ac:dyDescent="0.25">
      <c r="A321" s="13">
        <f t="shared" si="24"/>
        <v>45977</v>
      </c>
      <c r="B321">
        <f t="shared" si="20"/>
        <v>2025</v>
      </c>
      <c r="C321" t="str">
        <f t="shared" si="21"/>
        <v>Nov</v>
      </c>
      <c r="D321">
        <f t="shared" si="22"/>
        <v>11</v>
      </c>
      <c r="E321">
        <f t="shared" si="23"/>
        <v>16</v>
      </c>
    </row>
    <row r="322" spans="1:5" x14ac:dyDescent="0.25">
      <c r="A322" s="13">
        <f t="shared" si="24"/>
        <v>45978</v>
      </c>
      <c r="B322">
        <f t="shared" si="20"/>
        <v>2025</v>
      </c>
      <c r="C322" t="str">
        <f t="shared" si="21"/>
        <v>Nov</v>
      </c>
      <c r="D322">
        <f t="shared" si="22"/>
        <v>11</v>
      </c>
      <c r="E322">
        <f t="shared" si="23"/>
        <v>17</v>
      </c>
    </row>
    <row r="323" spans="1:5" x14ac:dyDescent="0.25">
      <c r="A323" s="13">
        <f t="shared" si="24"/>
        <v>45979</v>
      </c>
      <c r="B323">
        <f t="shared" ref="B323:B386" si="25">YEAR(A323)</f>
        <v>2025</v>
      </c>
      <c r="C323" t="str">
        <f t="shared" ref="C323:C386" si="26">TEXT(A323,"mmm")</f>
        <v>Nov</v>
      </c>
      <c r="D323">
        <f t="shared" ref="D323:D386" si="27">MONTH(A323)</f>
        <v>11</v>
      </c>
      <c r="E323">
        <f t="shared" ref="E323:E386" si="28">DAY(A323)</f>
        <v>18</v>
      </c>
    </row>
    <row r="324" spans="1:5" x14ac:dyDescent="0.25">
      <c r="A324" s="13">
        <f t="shared" ref="A324:A387" si="29">A323+1</f>
        <v>45980</v>
      </c>
      <c r="B324">
        <f t="shared" si="25"/>
        <v>2025</v>
      </c>
      <c r="C324" t="str">
        <f t="shared" si="26"/>
        <v>Nov</v>
      </c>
      <c r="D324">
        <f t="shared" si="27"/>
        <v>11</v>
      </c>
      <c r="E324">
        <f t="shared" si="28"/>
        <v>19</v>
      </c>
    </row>
    <row r="325" spans="1:5" x14ac:dyDescent="0.25">
      <c r="A325" s="13">
        <f t="shared" si="29"/>
        <v>45981</v>
      </c>
      <c r="B325">
        <f t="shared" si="25"/>
        <v>2025</v>
      </c>
      <c r="C325" t="str">
        <f t="shared" si="26"/>
        <v>Nov</v>
      </c>
      <c r="D325">
        <f t="shared" si="27"/>
        <v>11</v>
      </c>
      <c r="E325">
        <f t="shared" si="28"/>
        <v>20</v>
      </c>
    </row>
    <row r="326" spans="1:5" x14ac:dyDescent="0.25">
      <c r="A326" s="13">
        <f t="shared" si="29"/>
        <v>45982</v>
      </c>
      <c r="B326">
        <f t="shared" si="25"/>
        <v>2025</v>
      </c>
      <c r="C326" t="str">
        <f t="shared" si="26"/>
        <v>Nov</v>
      </c>
      <c r="D326">
        <f t="shared" si="27"/>
        <v>11</v>
      </c>
      <c r="E326">
        <f t="shared" si="28"/>
        <v>21</v>
      </c>
    </row>
    <row r="327" spans="1:5" x14ac:dyDescent="0.25">
      <c r="A327" s="13">
        <f t="shared" si="29"/>
        <v>45983</v>
      </c>
      <c r="B327">
        <f t="shared" si="25"/>
        <v>2025</v>
      </c>
      <c r="C327" t="str">
        <f t="shared" si="26"/>
        <v>Nov</v>
      </c>
      <c r="D327">
        <f t="shared" si="27"/>
        <v>11</v>
      </c>
      <c r="E327">
        <f t="shared" si="28"/>
        <v>22</v>
      </c>
    </row>
    <row r="328" spans="1:5" x14ac:dyDescent="0.25">
      <c r="A328" s="13">
        <f t="shared" si="29"/>
        <v>45984</v>
      </c>
      <c r="B328">
        <f t="shared" si="25"/>
        <v>2025</v>
      </c>
      <c r="C328" t="str">
        <f t="shared" si="26"/>
        <v>Nov</v>
      </c>
      <c r="D328">
        <f t="shared" si="27"/>
        <v>11</v>
      </c>
      <c r="E328">
        <f t="shared" si="28"/>
        <v>23</v>
      </c>
    </row>
    <row r="329" spans="1:5" x14ac:dyDescent="0.25">
      <c r="A329" s="13">
        <f t="shared" si="29"/>
        <v>45985</v>
      </c>
      <c r="B329">
        <f t="shared" si="25"/>
        <v>2025</v>
      </c>
      <c r="C329" t="str">
        <f t="shared" si="26"/>
        <v>Nov</v>
      </c>
      <c r="D329">
        <f t="shared" si="27"/>
        <v>11</v>
      </c>
      <c r="E329">
        <f t="shared" si="28"/>
        <v>24</v>
      </c>
    </row>
    <row r="330" spans="1:5" x14ac:dyDescent="0.25">
      <c r="A330" s="13">
        <f t="shared" si="29"/>
        <v>45986</v>
      </c>
      <c r="B330">
        <f t="shared" si="25"/>
        <v>2025</v>
      </c>
      <c r="C330" t="str">
        <f t="shared" si="26"/>
        <v>Nov</v>
      </c>
      <c r="D330">
        <f t="shared" si="27"/>
        <v>11</v>
      </c>
      <c r="E330">
        <f t="shared" si="28"/>
        <v>25</v>
      </c>
    </row>
    <row r="331" spans="1:5" x14ac:dyDescent="0.25">
      <c r="A331" s="13">
        <f t="shared" si="29"/>
        <v>45987</v>
      </c>
      <c r="B331">
        <f t="shared" si="25"/>
        <v>2025</v>
      </c>
      <c r="C331" t="str">
        <f t="shared" si="26"/>
        <v>Nov</v>
      </c>
      <c r="D331">
        <f t="shared" si="27"/>
        <v>11</v>
      </c>
      <c r="E331">
        <f t="shared" si="28"/>
        <v>26</v>
      </c>
    </row>
    <row r="332" spans="1:5" x14ac:dyDescent="0.25">
      <c r="A332" s="13">
        <f t="shared" si="29"/>
        <v>45988</v>
      </c>
      <c r="B332">
        <f t="shared" si="25"/>
        <v>2025</v>
      </c>
      <c r="C332" t="str">
        <f t="shared" si="26"/>
        <v>Nov</v>
      </c>
      <c r="D332">
        <f t="shared" si="27"/>
        <v>11</v>
      </c>
      <c r="E332">
        <f t="shared" si="28"/>
        <v>27</v>
      </c>
    </row>
    <row r="333" spans="1:5" x14ac:dyDescent="0.25">
      <c r="A333" s="13">
        <f t="shared" si="29"/>
        <v>45989</v>
      </c>
      <c r="B333">
        <f t="shared" si="25"/>
        <v>2025</v>
      </c>
      <c r="C333" t="str">
        <f t="shared" si="26"/>
        <v>Nov</v>
      </c>
      <c r="D333">
        <f t="shared" si="27"/>
        <v>11</v>
      </c>
      <c r="E333">
        <f t="shared" si="28"/>
        <v>28</v>
      </c>
    </row>
    <row r="334" spans="1:5" x14ac:dyDescent="0.25">
      <c r="A334" s="13">
        <f t="shared" si="29"/>
        <v>45990</v>
      </c>
      <c r="B334">
        <f t="shared" si="25"/>
        <v>2025</v>
      </c>
      <c r="C334" t="str">
        <f t="shared" si="26"/>
        <v>Nov</v>
      </c>
      <c r="D334">
        <f t="shared" si="27"/>
        <v>11</v>
      </c>
      <c r="E334">
        <f t="shared" si="28"/>
        <v>29</v>
      </c>
    </row>
    <row r="335" spans="1:5" x14ac:dyDescent="0.25">
      <c r="A335" s="13">
        <f t="shared" si="29"/>
        <v>45991</v>
      </c>
      <c r="B335">
        <f t="shared" si="25"/>
        <v>2025</v>
      </c>
      <c r="C335" t="str">
        <f t="shared" si="26"/>
        <v>Nov</v>
      </c>
      <c r="D335">
        <f t="shared" si="27"/>
        <v>11</v>
      </c>
      <c r="E335">
        <f t="shared" si="28"/>
        <v>30</v>
      </c>
    </row>
    <row r="336" spans="1:5" x14ac:dyDescent="0.25">
      <c r="A336" s="13">
        <f t="shared" si="29"/>
        <v>45992</v>
      </c>
      <c r="B336">
        <f t="shared" si="25"/>
        <v>2025</v>
      </c>
      <c r="C336" t="str">
        <f t="shared" si="26"/>
        <v>Dec</v>
      </c>
      <c r="D336">
        <f t="shared" si="27"/>
        <v>12</v>
      </c>
      <c r="E336">
        <f t="shared" si="28"/>
        <v>1</v>
      </c>
    </row>
    <row r="337" spans="1:5" x14ac:dyDescent="0.25">
      <c r="A337" s="13">
        <f t="shared" si="29"/>
        <v>45993</v>
      </c>
      <c r="B337">
        <f t="shared" si="25"/>
        <v>2025</v>
      </c>
      <c r="C337" t="str">
        <f t="shared" si="26"/>
        <v>Dec</v>
      </c>
      <c r="D337">
        <f t="shared" si="27"/>
        <v>12</v>
      </c>
      <c r="E337">
        <f t="shared" si="28"/>
        <v>2</v>
      </c>
    </row>
    <row r="338" spans="1:5" x14ac:dyDescent="0.25">
      <c r="A338" s="13">
        <f t="shared" si="29"/>
        <v>45994</v>
      </c>
      <c r="B338">
        <f t="shared" si="25"/>
        <v>2025</v>
      </c>
      <c r="C338" t="str">
        <f t="shared" si="26"/>
        <v>Dec</v>
      </c>
      <c r="D338">
        <f t="shared" si="27"/>
        <v>12</v>
      </c>
      <c r="E338">
        <f t="shared" si="28"/>
        <v>3</v>
      </c>
    </row>
    <row r="339" spans="1:5" x14ac:dyDescent="0.25">
      <c r="A339" s="13">
        <f t="shared" si="29"/>
        <v>45995</v>
      </c>
      <c r="B339">
        <f t="shared" si="25"/>
        <v>2025</v>
      </c>
      <c r="C339" t="str">
        <f t="shared" si="26"/>
        <v>Dec</v>
      </c>
      <c r="D339">
        <f t="shared" si="27"/>
        <v>12</v>
      </c>
      <c r="E339">
        <f t="shared" si="28"/>
        <v>4</v>
      </c>
    </row>
    <row r="340" spans="1:5" x14ac:dyDescent="0.25">
      <c r="A340" s="13">
        <f t="shared" si="29"/>
        <v>45996</v>
      </c>
      <c r="B340">
        <f t="shared" si="25"/>
        <v>2025</v>
      </c>
      <c r="C340" t="str">
        <f t="shared" si="26"/>
        <v>Dec</v>
      </c>
      <c r="D340">
        <f t="shared" si="27"/>
        <v>12</v>
      </c>
      <c r="E340">
        <f t="shared" si="28"/>
        <v>5</v>
      </c>
    </row>
    <row r="341" spans="1:5" x14ac:dyDescent="0.25">
      <c r="A341" s="13">
        <f t="shared" si="29"/>
        <v>45997</v>
      </c>
      <c r="B341">
        <f t="shared" si="25"/>
        <v>2025</v>
      </c>
      <c r="C341" t="str">
        <f t="shared" si="26"/>
        <v>Dec</v>
      </c>
      <c r="D341">
        <f t="shared" si="27"/>
        <v>12</v>
      </c>
      <c r="E341">
        <f t="shared" si="28"/>
        <v>6</v>
      </c>
    </row>
    <row r="342" spans="1:5" x14ac:dyDescent="0.25">
      <c r="A342" s="13">
        <f t="shared" si="29"/>
        <v>45998</v>
      </c>
      <c r="B342">
        <f t="shared" si="25"/>
        <v>2025</v>
      </c>
      <c r="C342" t="str">
        <f t="shared" si="26"/>
        <v>Dec</v>
      </c>
      <c r="D342">
        <f t="shared" si="27"/>
        <v>12</v>
      </c>
      <c r="E342">
        <f t="shared" si="28"/>
        <v>7</v>
      </c>
    </row>
    <row r="343" spans="1:5" x14ac:dyDescent="0.25">
      <c r="A343" s="13">
        <f t="shared" si="29"/>
        <v>45999</v>
      </c>
      <c r="B343">
        <f t="shared" si="25"/>
        <v>2025</v>
      </c>
      <c r="C343" t="str">
        <f t="shared" si="26"/>
        <v>Dec</v>
      </c>
      <c r="D343">
        <f t="shared" si="27"/>
        <v>12</v>
      </c>
      <c r="E343">
        <f t="shared" si="28"/>
        <v>8</v>
      </c>
    </row>
    <row r="344" spans="1:5" x14ac:dyDescent="0.25">
      <c r="A344" s="13">
        <f t="shared" si="29"/>
        <v>46000</v>
      </c>
      <c r="B344">
        <f t="shared" si="25"/>
        <v>2025</v>
      </c>
      <c r="C344" t="str">
        <f t="shared" si="26"/>
        <v>Dec</v>
      </c>
      <c r="D344">
        <f t="shared" si="27"/>
        <v>12</v>
      </c>
      <c r="E344">
        <f t="shared" si="28"/>
        <v>9</v>
      </c>
    </row>
    <row r="345" spans="1:5" x14ac:dyDescent="0.25">
      <c r="A345" s="13">
        <f t="shared" si="29"/>
        <v>46001</v>
      </c>
      <c r="B345">
        <f t="shared" si="25"/>
        <v>2025</v>
      </c>
      <c r="C345" t="str">
        <f t="shared" si="26"/>
        <v>Dec</v>
      </c>
      <c r="D345">
        <f t="shared" si="27"/>
        <v>12</v>
      </c>
      <c r="E345">
        <f t="shared" si="28"/>
        <v>10</v>
      </c>
    </row>
    <row r="346" spans="1:5" x14ac:dyDescent="0.25">
      <c r="A346" s="13">
        <f t="shared" si="29"/>
        <v>46002</v>
      </c>
      <c r="B346">
        <f t="shared" si="25"/>
        <v>2025</v>
      </c>
      <c r="C346" t="str">
        <f t="shared" si="26"/>
        <v>Dec</v>
      </c>
      <c r="D346">
        <f t="shared" si="27"/>
        <v>12</v>
      </c>
      <c r="E346">
        <f t="shared" si="28"/>
        <v>11</v>
      </c>
    </row>
    <row r="347" spans="1:5" x14ac:dyDescent="0.25">
      <c r="A347" s="13">
        <f t="shared" si="29"/>
        <v>46003</v>
      </c>
      <c r="B347">
        <f t="shared" si="25"/>
        <v>2025</v>
      </c>
      <c r="C347" t="str">
        <f t="shared" si="26"/>
        <v>Dec</v>
      </c>
      <c r="D347">
        <f t="shared" si="27"/>
        <v>12</v>
      </c>
      <c r="E347">
        <f t="shared" si="28"/>
        <v>12</v>
      </c>
    </row>
    <row r="348" spans="1:5" x14ac:dyDescent="0.25">
      <c r="A348" s="13">
        <f t="shared" si="29"/>
        <v>46004</v>
      </c>
      <c r="B348">
        <f t="shared" si="25"/>
        <v>2025</v>
      </c>
      <c r="C348" t="str">
        <f t="shared" si="26"/>
        <v>Dec</v>
      </c>
      <c r="D348">
        <f t="shared" si="27"/>
        <v>12</v>
      </c>
      <c r="E348">
        <f t="shared" si="28"/>
        <v>13</v>
      </c>
    </row>
    <row r="349" spans="1:5" x14ac:dyDescent="0.25">
      <c r="A349" s="13">
        <f t="shared" si="29"/>
        <v>46005</v>
      </c>
      <c r="B349">
        <f t="shared" si="25"/>
        <v>2025</v>
      </c>
      <c r="C349" t="str">
        <f t="shared" si="26"/>
        <v>Dec</v>
      </c>
      <c r="D349">
        <f t="shared" si="27"/>
        <v>12</v>
      </c>
      <c r="E349">
        <f t="shared" si="28"/>
        <v>14</v>
      </c>
    </row>
    <row r="350" spans="1:5" x14ac:dyDescent="0.25">
      <c r="A350" s="13">
        <f t="shared" si="29"/>
        <v>46006</v>
      </c>
      <c r="B350">
        <f t="shared" si="25"/>
        <v>2025</v>
      </c>
      <c r="C350" t="str">
        <f t="shared" si="26"/>
        <v>Dec</v>
      </c>
      <c r="D350">
        <f t="shared" si="27"/>
        <v>12</v>
      </c>
      <c r="E350">
        <f t="shared" si="28"/>
        <v>15</v>
      </c>
    </row>
    <row r="351" spans="1:5" x14ac:dyDescent="0.25">
      <c r="A351" s="13">
        <f t="shared" si="29"/>
        <v>46007</v>
      </c>
      <c r="B351">
        <f t="shared" si="25"/>
        <v>2025</v>
      </c>
      <c r="C351" t="str">
        <f t="shared" si="26"/>
        <v>Dec</v>
      </c>
      <c r="D351">
        <f t="shared" si="27"/>
        <v>12</v>
      </c>
      <c r="E351">
        <f t="shared" si="28"/>
        <v>16</v>
      </c>
    </row>
    <row r="352" spans="1:5" x14ac:dyDescent="0.25">
      <c r="A352" s="13">
        <f t="shared" si="29"/>
        <v>46008</v>
      </c>
      <c r="B352">
        <f t="shared" si="25"/>
        <v>2025</v>
      </c>
      <c r="C352" t="str">
        <f t="shared" si="26"/>
        <v>Dec</v>
      </c>
      <c r="D352">
        <f t="shared" si="27"/>
        <v>12</v>
      </c>
      <c r="E352">
        <f t="shared" si="28"/>
        <v>17</v>
      </c>
    </row>
    <row r="353" spans="1:5" x14ac:dyDescent="0.25">
      <c r="A353" s="13">
        <f t="shared" si="29"/>
        <v>46009</v>
      </c>
      <c r="B353">
        <f t="shared" si="25"/>
        <v>2025</v>
      </c>
      <c r="C353" t="str">
        <f t="shared" si="26"/>
        <v>Dec</v>
      </c>
      <c r="D353">
        <f t="shared" si="27"/>
        <v>12</v>
      </c>
      <c r="E353">
        <f t="shared" si="28"/>
        <v>18</v>
      </c>
    </row>
    <row r="354" spans="1:5" x14ac:dyDescent="0.25">
      <c r="A354" s="13">
        <f t="shared" si="29"/>
        <v>46010</v>
      </c>
      <c r="B354">
        <f t="shared" si="25"/>
        <v>2025</v>
      </c>
      <c r="C354" t="str">
        <f t="shared" si="26"/>
        <v>Dec</v>
      </c>
      <c r="D354">
        <f t="shared" si="27"/>
        <v>12</v>
      </c>
      <c r="E354">
        <f t="shared" si="28"/>
        <v>19</v>
      </c>
    </row>
    <row r="355" spans="1:5" x14ac:dyDescent="0.25">
      <c r="A355" s="13">
        <f t="shared" si="29"/>
        <v>46011</v>
      </c>
      <c r="B355">
        <f t="shared" si="25"/>
        <v>2025</v>
      </c>
      <c r="C355" t="str">
        <f t="shared" si="26"/>
        <v>Dec</v>
      </c>
      <c r="D355">
        <f t="shared" si="27"/>
        <v>12</v>
      </c>
      <c r="E355">
        <f t="shared" si="28"/>
        <v>20</v>
      </c>
    </row>
    <row r="356" spans="1:5" x14ac:dyDescent="0.25">
      <c r="A356" s="13">
        <f t="shared" si="29"/>
        <v>46012</v>
      </c>
      <c r="B356">
        <f t="shared" si="25"/>
        <v>2025</v>
      </c>
      <c r="C356" t="str">
        <f t="shared" si="26"/>
        <v>Dec</v>
      </c>
      <c r="D356">
        <f t="shared" si="27"/>
        <v>12</v>
      </c>
      <c r="E356">
        <f t="shared" si="28"/>
        <v>21</v>
      </c>
    </row>
    <row r="357" spans="1:5" x14ac:dyDescent="0.25">
      <c r="A357" s="13">
        <f t="shared" si="29"/>
        <v>46013</v>
      </c>
      <c r="B357">
        <f t="shared" si="25"/>
        <v>2025</v>
      </c>
      <c r="C357" t="str">
        <f t="shared" si="26"/>
        <v>Dec</v>
      </c>
      <c r="D357">
        <f t="shared" si="27"/>
        <v>12</v>
      </c>
      <c r="E357">
        <f t="shared" si="28"/>
        <v>22</v>
      </c>
    </row>
    <row r="358" spans="1:5" x14ac:dyDescent="0.25">
      <c r="A358" s="13">
        <f t="shared" si="29"/>
        <v>46014</v>
      </c>
      <c r="B358">
        <f t="shared" si="25"/>
        <v>2025</v>
      </c>
      <c r="C358" t="str">
        <f t="shared" si="26"/>
        <v>Dec</v>
      </c>
      <c r="D358">
        <f t="shared" si="27"/>
        <v>12</v>
      </c>
      <c r="E358">
        <f t="shared" si="28"/>
        <v>23</v>
      </c>
    </row>
    <row r="359" spans="1:5" x14ac:dyDescent="0.25">
      <c r="A359" s="13">
        <f t="shared" si="29"/>
        <v>46015</v>
      </c>
      <c r="B359">
        <f t="shared" si="25"/>
        <v>2025</v>
      </c>
      <c r="C359" t="str">
        <f t="shared" si="26"/>
        <v>Dec</v>
      </c>
      <c r="D359">
        <f t="shared" si="27"/>
        <v>12</v>
      </c>
      <c r="E359">
        <f t="shared" si="28"/>
        <v>24</v>
      </c>
    </row>
    <row r="360" spans="1:5" x14ac:dyDescent="0.25">
      <c r="A360" s="13">
        <f t="shared" si="29"/>
        <v>46016</v>
      </c>
      <c r="B360">
        <f t="shared" si="25"/>
        <v>2025</v>
      </c>
      <c r="C360" t="str">
        <f t="shared" si="26"/>
        <v>Dec</v>
      </c>
      <c r="D360">
        <f t="shared" si="27"/>
        <v>12</v>
      </c>
      <c r="E360">
        <f t="shared" si="28"/>
        <v>25</v>
      </c>
    </row>
    <row r="361" spans="1:5" x14ac:dyDescent="0.25">
      <c r="A361" s="13">
        <f t="shared" si="29"/>
        <v>46017</v>
      </c>
      <c r="B361">
        <f t="shared" si="25"/>
        <v>2025</v>
      </c>
      <c r="C361" t="str">
        <f t="shared" si="26"/>
        <v>Dec</v>
      </c>
      <c r="D361">
        <f t="shared" si="27"/>
        <v>12</v>
      </c>
      <c r="E361">
        <f t="shared" si="28"/>
        <v>26</v>
      </c>
    </row>
    <row r="362" spans="1:5" x14ac:dyDescent="0.25">
      <c r="A362" s="13">
        <f t="shared" si="29"/>
        <v>46018</v>
      </c>
      <c r="B362">
        <f t="shared" si="25"/>
        <v>2025</v>
      </c>
      <c r="C362" t="str">
        <f t="shared" si="26"/>
        <v>Dec</v>
      </c>
      <c r="D362">
        <f t="shared" si="27"/>
        <v>12</v>
      </c>
      <c r="E362">
        <f t="shared" si="28"/>
        <v>27</v>
      </c>
    </row>
    <row r="363" spans="1:5" x14ac:dyDescent="0.25">
      <c r="A363" s="13">
        <f t="shared" si="29"/>
        <v>46019</v>
      </c>
      <c r="B363">
        <f t="shared" si="25"/>
        <v>2025</v>
      </c>
      <c r="C363" t="str">
        <f t="shared" si="26"/>
        <v>Dec</v>
      </c>
      <c r="D363">
        <f t="shared" si="27"/>
        <v>12</v>
      </c>
      <c r="E363">
        <f t="shared" si="28"/>
        <v>28</v>
      </c>
    </row>
    <row r="364" spans="1:5" x14ac:dyDescent="0.25">
      <c r="A364" s="13">
        <f t="shared" si="29"/>
        <v>46020</v>
      </c>
      <c r="B364">
        <f t="shared" si="25"/>
        <v>2025</v>
      </c>
      <c r="C364" t="str">
        <f t="shared" si="26"/>
        <v>Dec</v>
      </c>
      <c r="D364">
        <f t="shared" si="27"/>
        <v>12</v>
      </c>
      <c r="E364">
        <f t="shared" si="28"/>
        <v>29</v>
      </c>
    </row>
    <row r="365" spans="1:5" x14ac:dyDescent="0.25">
      <c r="A365" s="13">
        <f t="shared" si="29"/>
        <v>46021</v>
      </c>
      <c r="B365">
        <f t="shared" si="25"/>
        <v>2025</v>
      </c>
      <c r="C365" t="str">
        <f t="shared" si="26"/>
        <v>Dec</v>
      </c>
      <c r="D365">
        <f t="shared" si="27"/>
        <v>12</v>
      </c>
      <c r="E365">
        <f t="shared" si="28"/>
        <v>30</v>
      </c>
    </row>
    <row r="366" spans="1:5" x14ac:dyDescent="0.25">
      <c r="A366" s="13">
        <f t="shared" si="29"/>
        <v>46022</v>
      </c>
      <c r="B366">
        <f t="shared" si="25"/>
        <v>2025</v>
      </c>
      <c r="C366" t="str">
        <f t="shared" si="26"/>
        <v>Dec</v>
      </c>
      <c r="D366">
        <f t="shared" si="27"/>
        <v>12</v>
      </c>
      <c r="E366">
        <f t="shared" si="28"/>
        <v>31</v>
      </c>
    </row>
    <row r="367" spans="1:5" x14ac:dyDescent="0.25">
      <c r="A367" s="13">
        <f t="shared" si="29"/>
        <v>46023</v>
      </c>
      <c r="B367">
        <f t="shared" si="25"/>
        <v>2026</v>
      </c>
      <c r="C367" t="str">
        <f t="shared" si="26"/>
        <v>Jan</v>
      </c>
      <c r="D367">
        <f t="shared" si="27"/>
        <v>1</v>
      </c>
      <c r="E367">
        <f t="shared" si="28"/>
        <v>1</v>
      </c>
    </row>
    <row r="368" spans="1:5" x14ac:dyDescent="0.25">
      <c r="A368" s="13">
        <f t="shared" si="29"/>
        <v>46024</v>
      </c>
      <c r="B368">
        <f t="shared" si="25"/>
        <v>2026</v>
      </c>
      <c r="C368" t="str">
        <f t="shared" si="26"/>
        <v>Jan</v>
      </c>
      <c r="D368">
        <f t="shared" si="27"/>
        <v>1</v>
      </c>
      <c r="E368">
        <f t="shared" si="28"/>
        <v>2</v>
      </c>
    </row>
    <row r="369" spans="1:5" x14ac:dyDescent="0.25">
      <c r="A369" s="13">
        <f t="shared" si="29"/>
        <v>46025</v>
      </c>
      <c r="B369">
        <f t="shared" si="25"/>
        <v>2026</v>
      </c>
      <c r="C369" t="str">
        <f t="shared" si="26"/>
        <v>Jan</v>
      </c>
      <c r="D369">
        <f t="shared" si="27"/>
        <v>1</v>
      </c>
      <c r="E369">
        <f t="shared" si="28"/>
        <v>3</v>
      </c>
    </row>
    <row r="370" spans="1:5" x14ac:dyDescent="0.25">
      <c r="A370" s="13">
        <f t="shared" si="29"/>
        <v>46026</v>
      </c>
      <c r="B370">
        <f t="shared" si="25"/>
        <v>2026</v>
      </c>
      <c r="C370" t="str">
        <f t="shared" si="26"/>
        <v>Jan</v>
      </c>
      <c r="D370">
        <f t="shared" si="27"/>
        <v>1</v>
      </c>
      <c r="E370">
        <f t="shared" si="28"/>
        <v>4</v>
      </c>
    </row>
    <row r="371" spans="1:5" x14ac:dyDescent="0.25">
      <c r="A371" s="13">
        <f t="shared" si="29"/>
        <v>46027</v>
      </c>
      <c r="B371">
        <f t="shared" si="25"/>
        <v>2026</v>
      </c>
      <c r="C371" t="str">
        <f t="shared" si="26"/>
        <v>Jan</v>
      </c>
      <c r="D371">
        <f t="shared" si="27"/>
        <v>1</v>
      </c>
      <c r="E371">
        <f t="shared" si="28"/>
        <v>5</v>
      </c>
    </row>
    <row r="372" spans="1:5" x14ac:dyDescent="0.25">
      <c r="A372" s="13">
        <f t="shared" si="29"/>
        <v>46028</v>
      </c>
      <c r="B372">
        <f t="shared" si="25"/>
        <v>2026</v>
      </c>
      <c r="C372" t="str">
        <f t="shared" si="26"/>
        <v>Jan</v>
      </c>
      <c r="D372">
        <f t="shared" si="27"/>
        <v>1</v>
      </c>
      <c r="E372">
        <f t="shared" si="28"/>
        <v>6</v>
      </c>
    </row>
    <row r="373" spans="1:5" x14ac:dyDescent="0.25">
      <c r="A373" s="13">
        <f t="shared" si="29"/>
        <v>46029</v>
      </c>
      <c r="B373">
        <f t="shared" si="25"/>
        <v>2026</v>
      </c>
      <c r="C373" t="str">
        <f t="shared" si="26"/>
        <v>Jan</v>
      </c>
      <c r="D373">
        <f t="shared" si="27"/>
        <v>1</v>
      </c>
      <c r="E373">
        <f t="shared" si="28"/>
        <v>7</v>
      </c>
    </row>
    <row r="374" spans="1:5" x14ac:dyDescent="0.25">
      <c r="A374" s="13">
        <f t="shared" si="29"/>
        <v>46030</v>
      </c>
      <c r="B374">
        <f t="shared" si="25"/>
        <v>2026</v>
      </c>
      <c r="C374" t="str">
        <f t="shared" si="26"/>
        <v>Jan</v>
      </c>
      <c r="D374">
        <f t="shared" si="27"/>
        <v>1</v>
      </c>
      <c r="E374">
        <f t="shared" si="28"/>
        <v>8</v>
      </c>
    </row>
    <row r="375" spans="1:5" x14ac:dyDescent="0.25">
      <c r="A375" s="13">
        <f t="shared" si="29"/>
        <v>46031</v>
      </c>
      <c r="B375">
        <f t="shared" si="25"/>
        <v>2026</v>
      </c>
      <c r="C375" t="str">
        <f t="shared" si="26"/>
        <v>Jan</v>
      </c>
      <c r="D375">
        <f t="shared" si="27"/>
        <v>1</v>
      </c>
      <c r="E375">
        <f t="shared" si="28"/>
        <v>9</v>
      </c>
    </row>
    <row r="376" spans="1:5" x14ac:dyDescent="0.25">
      <c r="A376" s="13">
        <f t="shared" si="29"/>
        <v>46032</v>
      </c>
      <c r="B376">
        <f t="shared" si="25"/>
        <v>2026</v>
      </c>
      <c r="C376" t="str">
        <f t="shared" si="26"/>
        <v>Jan</v>
      </c>
      <c r="D376">
        <f t="shared" si="27"/>
        <v>1</v>
      </c>
      <c r="E376">
        <f t="shared" si="28"/>
        <v>10</v>
      </c>
    </row>
    <row r="377" spans="1:5" x14ac:dyDescent="0.25">
      <c r="A377" s="13">
        <f t="shared" si="29"/>
        <v>46033</v>
      </c>
      <c r="B377">
        <f t="shared" si="25"/>
        <v>2026</v>
      </c>
      <c r="C377" t="str">
        <f t="shared" si="26"/>
        <v>Jan</v>
      </c>
      <c r="D377">
        <f t="shared" si="27"/>
        <v>1</v>
      </c>
      <c r="E377">
        <f t="shared" si="28"/>
        <v>11</v>
      </c>
    </row>
    <row r="378" spans="1:5" x14ac:dyDescent="0.25">
      <c r="A378" s="13">
        <f t="shared" si="29"/>
        <v>46034</v>
      </c>
      <c r="B378">
        <f t="shared" si="25"/>
        <v>2026</v>
      </c>
      <c r="C378" t="str">
        <f t="shared" si="26"/>
        <v>Jan</v>
      </c>
      <c r="D378">
        <f t="shared" si="27"/>
        <v>1</v>
      </c>
      <c r="E378">
        <f t="shared" si="28"/>
        <v>12</v>
      </c>
    </row>
    <row r="379" spans="1:5" x14ac:dyDescent="0.25">
      <c r="A379" s="13">
        <f t="shared" si="29"/>
        <v>46035</v>
      </c>
      <c r="B379">
        <f t="shared" si="25"/>
        <v>2026</v>
      </c>
      <c r="C379" t="str">
        <f t="shared" si="26"/>
        <v>Jan</v>
      </c>
      <c r="D379">
        <f t="shared" si="27"/>
        <v>1</v>
      </c>
      <c r="E379">
        <f t="shared" si="28"/>
        <v>13</v>
      </c>
    </row>
    <row r="380" spans="1:5" x14ac:dyDescent="0.25">
      <c r="A380" s="13">
        <f t="shared" si="29"/>
        <v>46036</v>
      </c>
      <c r="B380">
        <f t="shared" si="25"/>
        <v>2026</v>
      </c>
      <c r="C380" t="str">
        <f t="shared" si="26"/>
        <v>Jan</v>
      </c>
      <c r="D380">
        <f t="shared" si="27"/>
        <v>1</v>
      </c>
      <c r="E380">
        <f t="shared" si="28"/>
        <v>14</v>
      </c>
    </row>
    <row r="381" spans="1:5" x14ac:dyDescent="0.25">
      <c r="A381" s="13">
        <f t="shared" si="29"/>
        <v>46037</v>
      </c>
      <c r="B381">
        <f t="shared" si="25"/>
        <v>2026</v>
      </c>
      <c r="C381" t="str">
        <f t="shared" si="26"/>
        <v>Jan</v>
      </c>
      <c r="D381">
        <f t="shared" si="27"/>
        <v>1</v>
      </c>
      <c r="E381">
        <f t="shared" si="28"/>
        <v>15</v>
      </c>
    </row>
    <row r="382" spans="1:5" x14ac:dyDescent="0.25">
      <c r="A382" s="13">
        <f t="shared" si="29"/>
        <v>46038</v>
      </c>
      <c r="B382">
        <f t="shared" si="25"/>
        <v>2026</v>
      </c>
      <c r="C382" t="str">
        <f t="shared" si="26"/>
        <v>Jan</v>
      </c>
      <c r="D382">
        <f t="shared" si="27"/>
        <v>1</v>
      </c>
      <c r="E382">
        <f t="shared" si="28"/>
        <v>16</v>
      </c>
    </row>
    <row r="383" spans="1:5" x14ac:dyDescent="0.25">
      <c r="A383" s="13">
        <f t="shared" si="29"/>
        <v>46039</v>
      </c>
      <c r="B383">
        <f t="shared" si="25"/>
        <v>2026</v>
      </c>
      <c r="C383" t="str">
        <f t="shared" si="26"/>
        <v>Jan</v>
      </c>
      <c r="D383">
        <f t="shared" si="27"/>
        <v>1</v>
      </c>
      <c r="E383">
        <f t="shared" si="28"/>
        <v>17</v>
      </c>
    </row>
    <row r="384" spans="1:5" x14ac:dyDescent="0.25">
      <c r="A384" s="13">
        <f t="shared" si="29"/>
        <v>46040</v>
      </c>
      <c r="B384">
        <f t="shared" si="25"/>
        <v>2026</v>
      </c>
      <c r="C384" t="str">
        <f t="shared" si="26"/>
        <v>Jan</v>
      </c>
      <c r="D384">
        <f t="shared" si="27"/>
        <v>1</v>
      </c>
      <c r="E384">
        <f t="shared" si="28"/>
        <v>18</v>
      </c>
    </row>
    <row r="385" spans="1:5" x14ac:dyDescent="0.25">
      <c r="A385" s="13">
        <f t="shared" si="29"/>
        <v>46041</v>
      </c>
      <c r="B385">
        <f t="shared" si="25"/>
        <v>2026</v>
      </c>
      <c r="C385" t="str">
        <f t="shared" si="26"/>
        <v>Jan</v>
      </c>
      <c r="D385">
        <f t="shared" si="27"/>
        <v>1</v>
      </c>
      <c r="E385">
        <f t="shared" si="28"/>
        <v>19</v>
      </c>
    </row>
    <row r="386" spans="1:5" x14ac:dyDescent="0.25">
      <c r="A386" s="13">
        <f t="shared" si="29"/>
        <v>46042</v>
      </c>
      <c r="B386">
        <f t="shared" si="25"/>
        <v>2026</v>
      </c>
      <c r="C386" t="str">
        <f t="shared" si="26"/>
        <v>Jan</v>
      </c>
      <c r="D386">
        <f t="shared" si="27"/>
        <v>1</v>
      </c>
      <c r="E386">
        <f t="shared" si="28"/>
        <v>20</v>
      </c>
    </row>
    <row r="387" spans="1:5" x14ac:dyDescent="0.25">
      <c r="A387" s="13">
        <f t="shared" si="29"/>
        <v>46043</v>
      </c>
      <c r="B387">
        <f t="shared" ref="B387:B442" si="30">YEAR(A387)</f>
        <v>2026</v>
      </c>
      <c r="C387" t="str">
        <f t="shared" ref="C387:C442" si="31">TEXT(A387,"mmm")</f>
        <v>Jan</v>
      </c>
      <c r="D387">
        <f t="shared" ref="D387:D442" si="32">MONTH(A387)</f>
        <v>1</v>
      </c>
      <c r="E387">
        <f t="shared" ref="E387:E442" si="33">DAY(A387)</f>
        <v>21</v>
      </c>
    </row>
    <row r="388" spans="1:5" x14ac:dyDescent="0.25">
      <c r="A388" s="13">
        <f t="shared" ref="A388:A442" si="34">A387+1</f>
        <v>46044</v>
      </c>
      <c r="B388">
        <f t="shared" si="30"/>
        <v>2026</v>
      </c>
      <c r="C388" t="str">
        <f t="shared" si="31"/>
        <v>Jan</v>
      </c>
      <c r="D388">
        <f t="shared" si="32"/>
        <v>1</v>
      </c>
      <c r="E388">
        <f t="shared" si="33"/>
        <v>22</v>
      </c>
    </row>
    <row r="389" spans="1:5" x14ac:dyDescent="0.25">
      <c r="A389" s="13">
        <f t="shared" si="34"/>
        <v>46045</v>
      </c>
      <c r="B389">
        <f t="shared" si="30"/>
        <v>2026</v>
      </c>
      <c r="C389" t="str">
        <f t="shared" si="31"/>
        <v>Jan</v>
      </c>
      <c r="D389">
        <f t="shared" si="32"/>
        <v>1</v>
      </c>
      <c r="E389">
        <f t="shared" si="33"/>
        <v>23</v>
      </c>
    </row>
    <row r="390" spans="1:5" x14ac:dyDescent="0.25">
      <c r="A390" s="13">
        <f t="shared" si="34"/>
        <v>46046</v>
      </c>
      <c r="B390">
        <f t="shared" si="30"/>
        <v>2026</v>
      </c>
      <c r="C390" t="str">
        <f t="shared" si="31"/>
        <v>Jan</v>
      </c>
      <c r="D390">
        <f t="shared" si="32"/>
        <v>1</v>
      </c>
      <c r="E390">
        <f t="shared" si="33"/>
        <v>24</v>
      </c>
    </row>
    <row r="391" spans="1:5" x14ac:dyDescent="0.25">
      <c r="A391" s="13">
        <f t="shared" si="34"/>
        <v>46047</v>
      </c>
      <c r="B391">
        <f t="shared" si="30"/>
        <v>2026</v>
      </c>
      <c r="C391" t="str">
        <f t="shared" si="31"/>
        <v>Jan</v>
      </c>
      <c r="D391">
        <f t="shared" si="32"/>
        <v>1</v>
      </c>
      <c r="E391">
        <f t="shared" si="33"/>
        <v>25</v>
      </c>
    </row>
    <row r="392" spans="1:5" x14ac:dyDescent="0.25">
      <c r="A392" s="13">
        <f t="shared" si="34"/>
        <v>46048</v>
      </c>
      <c r="B392">
        <f t="shared" si="30"/>
        <v>2026</v>
      </c>
      <c r="C392" t="str">
        <f t="shared" si="31"/>
        <v>Jan</v>
      </c>
      <c r="D392">
        <f t="shared" si="32"/>
        <v>1</v>
      </c>
      <c r="E392">
        <f t="shared" si="33"/>
        <v>26</v>
      </c>
    </row>
    <row r="393" spans="1:5" x14ac:dyDescent="0.25">
      <c r="A393" s="13">
        <f t="shared" si="34"/>
        <v>46049</v>
      </c>
      <c r="B393">
        <f t="shared" si="30"/>
        <v>2026</v>
      </c>
      <c r="C393" t="str">
        <f t="shared" si="31"/>
        <v>Jan</v>
      </c>
      <c r="D393">
        <f t="shared" si="32"/>
        <v>1</v>
      </c>
      <c r="E393">
        <f t="shared" si="33"/>
        <v>27</v>
      </c>
    </row>
    <row r="394" spans="1:5" x14ac:dyDescent="0.25">
      <c r="A394" s="13">
        <f t="shared" si="34"/>
        <v>46050</v>
      </c>
      <c r="B394">
        <f t="shared" si="30"/>
        <v>2026</v>
      </c>
      <c r="C394" t="str">
        <f t="shared" si="31"/>
        <v>Jan</v>
      </c>
      <c r="D394">
        <f t="shared" si="32"/>
        <v>1</v>
      </c>
      <c r="E394">
        <f t="shared" si="33"/>
        <v>28</v>
      </c>
    </row>
    <row r="395" spans="1:5" x14ac:dyDescent="0.25">
      <c r="A395" s="13">
        <f t="shared" si="34"/>
        <v>46051</v>
      </c>
      <c r="B395">
        <f t="shared" si="30"/>
        <v>2026</v>
      </c>
      <c r="C395" t="str">
        <f t="shared" si="31"/>
        <v>Jan</v>
      </c>
      <c r="D395">
        <f t="shared" si="32"/>
        <v>1</v>
      </c>
      <c r="E395">
        <f t="shared" si="33"/>
        <v>29</v>
      </c>
    </row>
    <row r="396" spans="1:5" x14ac:dyDescent="0.25">
      <c r="A396" s="13">
        <f t="shared" si="34"/>
        <v>46052</v>
      </c>
      <c r="B396">
        <f t="shared" si="30"/>
        <v>2026</v>
      </c>
      <c r="C396" t="str">
        <f t="shared" si="31"/>
        <v>Jan</v>
      </c>
      <c r="D396">
        <f t="shared" si="32"/>
        <v>1</v>
      </c>
      <c r="E396">
        <f t="shared" si="33"/>
        <v>30</v>
      </c>
    </row>
    <row r="397" spans="1:5" x14ac:dyDescent="0.25">
      <c r="A397" s="13">
        <f t="shared" si="34"/>
        <v>46053</v>
      </c>
      <c r="B397">
        <f t="shared" si="30"/>
        <v>2026</v>
      </c>
      <c r="C397" t="str">
        <f t="shared" si="31"/>
        <v>Jan</v>
      </c>
      <c r="D397">
        <f t="shared" si="32"/>
        <v>1</v>
      </c>
      <c r="E397">
        <f t="shared" si="33"/>
        <v>31</v>
      </c>
    </row>
    <row r="398" spans="1:5" x14ac:dyDescent="0.25">
      <c r="A398" s="13">
        <f t="shared" si="34"/>
        <v>46054</v>
      </c>
      <c r="B398">
        <f t="shared" si="30"/>
        <v>2026</v>
      </c>
      <c r="C398" t="str">
        <f t="shared" si="31"/>
        <v>Feb</v>
      </c>
      <c r="D398">
        <f t="shared" si="32"/>
        <v>2</v>
      </c>
      <c r="E398">
        <f t="shared" si="33"/>
        <v>1</v>
      </c>
    </row>
    <row r="399" spans="1:5" x14ac:dyDescent="0.25">
      <c r="A399" s="13">
        <f t="shared" si="34"/>
        <v>46055</v>
      </c>
      <c r="B399">
        <f t="shared" si="30"/>
        <v>2026</v>
      </c>
      <c r="C399" t="str">
        <f t="shared" si="31"/>
        <v>Feb</v>
      </c>
      <c r="D399">
        <f t="shared" si="32"/>
        <v>2</v>
      </c>
      <c r="E399">
        <f t="shared" si="33"/>
        <v>2</v>
      </c>
    </row>
    <row r="400" spans="1:5" x14ac:dyDescent="0.25">
      <c r="A400" s="13">
        <f t="shared" si="34"/>
        <v>46056</v>
      </c>
      <c r="B400">
        <f t="shared" si="30"/>
        <v>2026</v>
      </c>
      <c r="C400" t="str">
        <f t="shared" si="31"/>
        <v>Feb</v>
      </c>
      <c r="D400">
        <f t="shared" si="32"/>
        <v>2</v>
      </c>
      <c r="E400">
        <f t="shared" si="33"/>
        <v>3</v>
      </c>
    </row>
    <row r="401" spans="1:5" x14ac:dyDescent="0.25">
      <c r="A401" s="13">
        <f t="shared" si="34"/>
        <v>46057</v>
      </c>
      <c r="B401">
        <f t="shared" si="30"/>
        <v>2026</v>
      </c>
      <c r="C401" t="str">
        <f t="shared" si="31"/>
        <v>Feb</v>
      </c>
      <c r="D401">
        <f t="shared" si="32"/>
        <v>2</v>
      </c>
      <c r="E401">
        <f t="shared" si="33"/>
        <v>4</v>
      </c>
    </row>
    <row r="402" spans="1:5" x14ac:dyDescent="0.25">
      <c r="A402" s="13">
        <f t="shared" si="34"/>
        <v>46058</v>
      </c>
      <c r="B402">
        <f t="shared" si="30"/>
        <v>2026</v>
      </c>
      <c r="C402" t="str">
        <f t="shared" si="31"/>
        <v>Feb</v>
      </c>
      <c r="D402">
        <f t="shared" si="32"/>
        <v>2</v>
      </c>
      <c r="E402">
        <f t="shared" si="33"/>
        <v>5</v>
      </c>
    </row>
    <row r="403" spans="1:5" x14ac:dyDescent="0.25">
      <c r="A403" s="13">
        <f t="shared" si="34"/>
        <v>46059</v>
      </c>
      <c r="B403">
        <f t="shared" si="30"/>
        <v>2026</v>
      </c>
      <c r="C403" t="str">
        <f t="shared" si="31"/>
        <v>Feb</v>
      </c>
      <c r="D403">
        <f t="shared" si="32"/>
        <v>2</v>
      </c>
      <c r="E403">
        <f t="shared" si="33"/>
        <v>6</v>
      </c>
    </row>
    <row r="404" spans="1:5" x14ac:dyDescent="0.25">
      <c r="A404" s="13">
        <f t="shared" si="34"/>
        <v>46060</v>
      </c>
      <c r="B404">
        <f t="shared" si="30"/>
        <v>2026</v>
      </c>
      <c r="C404" t="str">
        <f t="shared" si="31"/>
        <v>Feb</v>
      </c>
      <c r="D404">
        <f t="shared" si="32"/>
        <v>2</v>
      </c>
      <c r="E404">
        <f t="shared" si="33"/>
        <v>7</v>
      </c>
    </row>
    <row r="405" spans="1:5" x14ac:dyDescent="0.25">
      <c r="A405" s="13">
        <f t="shared" si="34"/>
        <v>46061</v>
      </c>
      <c r="B405">
        <f t="shared" si="30"/>
        <v>2026</v>
      </c>
      <c r="C405" t="str">
        <f t="shared" si="31"/>
        <v>Feb</v>
      </c>
      <c r="D405">
        <f t="shared" si="32"/>
        <v>2</v>
      </c>
      <c r="E405">
        <f t="shared" si="33"/>
        <v>8</v>
      </c>
    </row>
    <row r="406" spans="1:5" x14ac:dyDescent="0.25">
      <c r="A406" s="13">
        <f t="shared" si="34"/>
        <v>46062</v>
      </c>
      <c r="B406">
        <f t="shared" si="30"/>
        <v>2026</v>
      </c>
      <c r="C406" t="str">
        <f t="shared" si="31"/>
        <v>Feb</v>
      </c>
      <c r="D406">
        <f t="shared" si="32"/>
        <v>2</v>
      </c>
      <c r="E406">
        <f t="shared" si="33"/>
        <v>9</v>
      </c>
    </row>
    <row r="407" spans="1:5" x14ac:dyDescent="0.25">
      <c r="A407" s="13">
        <f t="shared" si="34"/>
        <v>46063</v>
      </c>
      <c r="B407">
        <f t="shared" si="30"/>
        <v>2026</v>
      </c>
      <c r="C407" t="str">
        <f t="shared" si="31"/>
        <v>Feb</v>
      </c>
      <c r="D407">
        <f t="shared" si="32"/>
        <v>2</v>
      </c>
      <c r="E407">
        <f t="shared" si="33"/>
        <v>10</v>
      </c>
    </row>
    <row r="408" spans="1:5" x14ac:dyDescent="0.25">
      <c r="A408" s="13">
        <f t="shared" si="34"/>
        <v>46064</v>
      </c>
      <c r="B408">
        <f t="shared" si="30"/>
        <v>2026</v>
      </c>
      <c r="C408" t="str">
        <f t="shared" si="31"/>
        <v>Feb</v>
      </c>
      <c r="D408">
        <f t="shared" si="32"/>
        <v>2</v>
      </c>
      <c r="E408">
        <f t="shared" si="33"/>
        <v>11</v>
      </c>
    </row>
    <row r="409" spans="1:5" x14ac:dyDescent="0.25">
      <c r="A409" s="13">
        <f t="shared" si="34"/>
        <v>46065</v>
      </c>
      <c r="B409">
        <f t="shared" si="30"/>
        <v>2026</v>
      </c>
      <c r="C409" t="str">
        <f t="shared" si="31"/>
        <v>Feb</v>
      </c>
      <c r="D409">
        <f t="shared" si="32"/>
        <v>2</v>
      </c>
      <c r="E409">
        <f t="shared" si="33"/>
        <v>12</v>
      </c>
    </row>
    <row r="410" spans="1:5" x14ac:dyDescent="0.25">
      <c r="A410" s="13">
        <f t="shared" si="34"/>
        <v>46066</v>
      </c>
      <c r="B410">
        <f t="shared" si="30"/>
        <v>2026</v>
      </c>
      <c r="C410" t="str">
        <f t="shared" si="31"/>
        <v>Feb</v>
      </c>
      <c r="D410">
        <f t="shared" si="32"/>
        <v>2</v>
      </c>
      <c r="E410">
        <f t="shared" si="33"/>
        <v>13</v>
      </c>
    </row>
    <row r="411" spans="1:5" x14ac:dyDescent="0.25">
      <c r="A411" s="13">
        <f t="shared" si="34"/>
        <v>46067</v>
      </c>
      <c r="B411">
        <f t="shared" si="30"/>
        <v>2026</v>
      </c>
      <c r="C411" t="str">
        <f t="shared" si="31"/>
        <v>Feb</v>
      </c>
      <c r="D411">
        <f t="shared" si="32"/>
        <v>2</v>
      </c>
      <c r="E411">
        <f t="shared" si="33"/>
        <v>14</v>
      </c>
    </row>
    <row r="412" spans="1:5" x14ac:dyDescent="0.25">
      <c r="A412" s="13">
        <f t="shared" si="34"/>
        <v>46068</v>
      </c>
      <c r="B412">
        <f t="shared" si="30"/>
        <v>2026</v>
      </c>
      <c r="C412" t="str">
        <f t="shared" si="31"/>
        <v>Feb</v>
      </c>
      <c r="D412">
        <f t="shared" si="32"/>
        <v>2</v>
      </c>
      <c r="E412">
        <f t="shared" si="33"/>
        <v>15</v>
      </c>
    </row>
    <row r="413" spans="1:5" x14ac:dyDescent="0.25">
      <c r="A413" s="13">
        <f t="shared" si="34"/>
        <v>46069</v>
      </c>
      <c r="B413">
        <f t="shared" si="30"/>
        <v>2026</v>
      </c>
      <c r="C413" t="str">
        <f t="shared" si="31"/>
        <v>Feb</v>
      </c>
      <c r="D413">
        <f t="shared" si="32"/>
        <v>2</v>
      </c>
      <c r="E413">
        <f t="shared" si="33"/>
        <v>16</v>
      </c>
    </row>
    <row r="414" spans="1:5" x14ac:dyDescent="0.25">
      <c r="A414" s="13">
        <f t="shared" si="34"/>
        <v>46070</v>
      </c>
      <c r="B414">
        <f t="shared" si="30"/>
        <v>2026</v>
      </c>
      <c r="C414" t="str">
        <f t="shared" si="31"/>
        <v>Feb</v>
      </c>
      <c r="D414">
        <f t="shared" si="32"/>
        <v>2</v>
      </c>
      <c r="E414">
        <f t="shared" si="33"/>
        <v>17</v>
      </c>
    </row>
    <row r="415" spans="1:5" x14ac:dyDescent="0.25">
      <c r="A415" s="13">
        <f t="shared" si="34"/>
        <v>46071</v>
      </c>
      <c r="B415">
        <f t="shared" si="30"/>
        <v>2026</v>
      </c>
      <c r="C415" t="str">
        <f t="shared" si="31"/>
        <v>Feb</v>
      </c>
      <c r="D415">
        <f t="shared" si="32"/>
        <v>2</v>
      </c>
      <c r="E415">
        <f t="shared" si="33"/>
        <v>18</v>
      </c>
    </row>
    <row r="416" spans="1:5" x14ac:dyDescent="0.25">
      <c r="A416" s="13">
        <f t="shared" si="34"/>
        <v>46072</v>
      </c>
      <c r="B416">
        <f t="shared" si="30"/>
        <v>2026</v>
      </c>
      <c r="C416" t="str">
        <f t="shared" si="31"/>
        <v>Feb</v>
      </c>
      <c r="D416">
        <f t="shared" si="32"/>
        <v>2</v>
      </c>
      <c r="E416">
        <f t="shared" si="33"/>
        <v>19</v>
      </c>
    </row>
    <row r="417" spans="1:5" x14ac:dyDescent="0.25">
      <c r="A417" s="13">
        <f t="shared" si="34"/>
        <v>46073</v>
      </c>
      <c r="B417">
        <f t="shared" si="30"/>
        <v>2026</v>
      </c>
      <c r="C417" t="str">
        <f t="shared" si="31"/>
        <v>Feb</v>
      </c>
      <c r="D417">
        <f t="shared" si="32"/>
        <v>2</v>
      </c>
      <c r="E417">
        <f t="shared" si="33"/>
        <v>20</v>
      </c>
    </row>
    <row r="418" spans="1:5" x14ac:dyDescent="0.25">
      <c r="A418" s="13">
        <f t="shared" si="34"/>
        <v>46074</v>
      </c>
      <c r="B418">
        <f t="shared" si="30"/>
        <v>2026</v>
      </c>
      <c r="C418" t="str">
        <f t="shared" si="31"/>
        <v>Feb</v>
      </c>
      <c r="D418">
        <f t="shared" si="32"/>
        <v>2</v>
      </c>
      <c r="E418">
        <f t="shared" si="33"/>
        <v>21</v>
      </c>
    </row>
    <row r="419" spans="1:5" x14ac:dyDescent="0.25">
      <c r="A419" s="13">
        <f t="shared" si="34"/>
        <v>46075</v>
      </c>
      <c r="B419">
        <f t="shared" si="30"/>
        <v>2026</v>
      </c>
      <c r="C419" t="str">
        <f t="shared" si="31"/>
        <v>Feb</v>
      </c>
      <c r="D419">
        <f t="shared" si="32"/>
        <v>2</v>
      </c>
      <c r="E419">
        <f t="shared" si="33"/>
        <v>22</v>
      </c>
    </row>
    <row r="420" spans="1:5" x14ac:dyDescent="0.25">
      <c r="A420" s="13">
        <f t="shared" si="34"/>
        <v>46076</v>
      </c>
      <c r="B420">
        <f t="shared" si="30"/>
        <v>2026</v>
      </c>
      <c r="C420" t="str">
        <f t="shared" si="31"/>
        <v>Feb</v>
      </c>
      <c r="D420">
        <f t="shared" si="32"/>
        <v>2</v>
      </c>
      <c r="E420">
        <f t="shared" si="33"/>
        <v>23</v>
      </c>
    </row>
    <row r="421" spans="1:5" x14ac:dyDescent="0.25">
      <c r="A421" s="13">
        <f t="shared" si="34"/>
        <v>46077</v>
      </c>
      <c r="B421">
        <f t="shared" si="30"/>
        <v>2026</v>
      </c>
      <c r="C421" t="str">
        <f t="shared" si="31"/>
        <v>Feb</v>
      </c>
      <c r="D421">
        <f t="shared" si="32"/>
        <v>2</v>
      </c>
      <c r="E421">
        <f t="shared" si="33"/>
        <v>24</v>
      </c>
    </row>
    <row r="422" spans="1:5" x14ac:dyDescent="0.25">
      <c r="A422" s="13">
        <f t="shared" si="34"/>
        <v>46078</v>
      </c>
      <c r="B422">
        <f t="shared" si="30"/>
        <v>2026</v>
      </c>
      <c r="C422" t="str">
        <f t="shared" si="31"/>
        <v>Feb</v>
      </c>
      <c r="D422">
        <f t="shared" si="32"/>
        <v>2</v>
      </c>
      <c r="E422">
        <f t="shared" si="33"/>
        <v>25</v>
      </c>
    </row>
    <row r="423" spans="1:5" x14ac:dyDescent="0.25">
      <c r="A423" s="13">
        <f t="shared" si="34"/>
        <v>46079</v>
      </c>
      <c r="B423">
        <f t="shared" si="30"/>
        <v>2026</v>
      </c>
      <c r="C423" t="str">
        <f t="shared" si="31"/>
        <v>Feb</v>
      </c>
      <c r="D423">
        <f t="shared" si="32"/>
        <v>2</v>
      </c>
      <c r="E423">
        <f t="shared" si="33"/>
        <v>26</v>
      </c>
    </row>
    <row r="424" spans="1:5" x14ac:dyDescent="0.25">
      <c r="A424" s="13">
        <f t="shared" si="34"/>
        <v>46080</v>
      </c>
      <c r="B424">
        <f t="shared" si="30"/>
        <v>2026</v>
      </c>
      <c r="C424" t="str">
        <f t="shared" si="31"/>
        <v>Feb</v>
      </c>
      <c r="D424">
        <f t="shared" si="32"/>
        <v>2</v>
      </c>
      <c r="E424">
        <f t="shared" si="33"/>
        <v>27</v>
      </c>
    </row>
    <row r="425" spans="1:5" x14ac:dyDescent="0.25">
      <c r="A425" s="13">
        <f t="shared" si="34"/>
        <v>46081</v>
      </c>
      <c r="B425">
        <f t="shared" si="30"/>
        <v>2026</v>
      </c>
      <c r="C425" t="str">
        <f t="shared" si="31"/>
        <v>Feb</v>
      </c>
      <c r="D425">
        <f t="shared" si="32"/>
        <v>2</v>
      </c>
      <c r="E425">
        <f t="shared" si="33"/>
        <v>28</v>
      </c>
    </row>
    <row r="426" spans="1:5" x14ac:dyDescent="0.25">
      <c r="A426" s="13">
        <f t="shared" si="34"/>
        <v>46082</v>
      </c>
      <c r="B426">
        <f t="shared" si="30"/>
        <v>2026</v>
      </c>
      <c r="C426" t="str">
        <f t="shared" si="31"/>
        <v>Mar</v>
      </c>
      <c r="D426">
        <f t="shared" si="32"/>
        <v>3</v>
      </c>
      <c r="E426">
        <f t="shared" si="33"/>
        <v>1</v>
      </c>
    </row>
    <row r="427" spans="1:5" x14ac:dyDescent="0.25">
      <c r="A427" s="13">
        <f t="shared" si="34"/>
        <v>46083</v>
      </c>
      <c r="B427">
        <f t="shared" si="30"/>
        <v>2026</v>
      </c>
      <c r="C427" t="str">
        <f t="shared" si="31"/>
        <v>Mar</v>
      </c>
      <c r="D427">
        <f t="shared" si="32"/>
        <v>3</v>
      </c>
      <c r="E427">
        <f t="shared" si="33"/>
        <v>2</v>
      </c>
    </row>
    <row r="428" spans="1:5" x14ac:dyDescent="0.25">
      <c r="A428" s="13">
        <f t="shared" si="34"/>
        <v>46084</v>
      </c>
      <c r="B428">
        <f t="shared" si="30"/>
        <v>2026</v>
      </c>
      <c r="C428" t="str">
        <f t="shared" si="31"/>
        <v>Mar</v>
      </c>
      <c r="D428">
        <f t="shared" si="32"/>
        <v>3</v>
      </c>
      <c r="E428">
        <f t="shared" si="33"/>
        <v>3</v>
      </c>
    </row>
    <row r="429" spans="1:5" x14ac:dyDescent="0.25">
      <c r="A429" s="13">
        <f t="shared" si="34"/>
        <v>46085</v>
      </c>
      <c r="B429">
        <f t="shared" si="30"/>
        <v>2026</v>
      </c>
      <c r="C429" t="str">
        <f t="shared" si="31"/>
        <v>Mar</v>
      </c>
      <c r="D429">
        <f t="shared" si="32"/>
        <v>3</v>
      </c>
      <c r="E429">
        <f t="shared" si="33"/>
        <v>4</v>
      </c>
    </row>
    <row r="430" spans="1:5" x14ac:dyDescent="0.25">
      <c r="A430" s="13">
        <f t="shared" si="34"/>
        <v>46086</v>
      </c>
      <c r="B430">
        <f t="shared" si="30"/>
        <v>2026</v>
      </c>
      <c r="C430" t="str">
        <f t="shared" si="31"/>
        <v>Mar</v>
      </c>
      <c r="D430">
        <f t="shared" si="32"/>
        <v>3</v>
      </c>
      <c r="E430">
        <f t="shared" si="33"/>
        <v>5</v>
      </c>
    </row>
    <row r="431" spans="1:5" x14ac:dyDescent="0.25">
      <c r="A431" s="13">
        <f t="shared" si="34"/>
        <v>46087</v>
      </c>
      <c r="B431">
        <f t="shared" si="30"/>
        <v>2026</v>
      </c>
      <c r="C431" t="str">
        <f t="shared" si="31"/>
        <v>Mar</v>
      </c>
      <c r="D431">
        <f t="shared" si="32"/>
        <v>3</v>
      </c>
      <c r="E431">
        <f t="shared" si="33"/>
        <v>6</v>
      </c>
    </row>
    <row r="432" spans="1:5" x14ac:dyDescent="0.25">
      <c r="A432" s="13">
        <f t="shared" si="34"/>
        <v>46088</v>
      </c>
      <c r="B432">
        <f t="shared" si="30"/>
        <v>2026</v>
      </c>
      <c r="C432" t="str">
        <f t="shared" si="31"/>
        <v>Mar</v>
      </c>
      <c r="D432">
        <f t="shared" si="32"/>
        <v>3</v>
      </c>
      <c r="E432">
        <f t="shared" si="33"/>
        <v>7</v>
      </c>
    </row>
    <row r="433" spans="1:5" x14ac:dyDescent="0.25">
      <c r="A433" s="13">
        <f t="shared" si="34"/>
        <v>46089</v>
      </c>
      <c r="B433">
        <f t="shared" si="30"/>
        <v>2026</v>
      </c>
      <c r="C433" t="str">
        <f t="shared" si="31"/>
        <v>Mar</v>
      </c>
      <c r="D433">
        <f t="shared" si="32"/>
        <v>3</v>
      </c>
      <c r="E433">
        <f t="shared" si="33"/>
        <v>8</v>
      </c>
    </row>
    <row r="434" spans="1:5" x14ac:dyDescent="0.25">
      <c r="A434" s="13">
        <f t="shared" si="34"/>
        <v>46090</v>
      </c>
      <c r="B434">
        <f t="shared" si="30"/>
        <v>2026</v>
      </c>
      <c r="C434" t="str">
        <f t="shared" si="31"/>
        <v>Mar</v>
      </c>
      <c r="D434">
        <f t="shared" si="32"/>
        <v>3</v>
      </c>
      <c r="E434">
        <f t="shared" si="33"/>
        <v>9</v>
      </c>
    </row>
    <row r="435" spans="1:5" x14ac:dyDescent="0.25">
      <c r="A435" s="13">
        <f t="shared" si="34"/>
        <v>46091</v>
      </c>
      <c r="B435">
        <f t="shared" si="30"/>
        <v>2026</v>
      </c>
      <c r="C435" t="str">
        <f t="shared" si="31"/>
        <v>Mar</v>
      </c>
      <c r="D435">
        <f t="shared" si="32"/>
        <v>3</v>
      </c>
      <c r="E435">
        <f t="shared" si="33"/>
        <v>10</v>
      </c>
    </row>
    <row r="436" spans="1:5" x14ac:dyDescent="0.25">
      <c r="A436" s="13">
        <f t="shared" si="34"/>
        <v>46092</v>
      </c>
      <c r="B436">
        <f t="shared" si="30"/>
        <v>2026</v>
      </c>
      <c r="C436" t="str">
        <f t="shared" si="31"/>
        <v>Mar</v>
      </c>
      <c r="D436">
        <f t="shared" si="32"/>
        <v>3</v>
      </c>
      <c r="E436">
        <f t="shared" si="33"/>
        <v>11</v>
      </c>
    </row>
    <row r="437" spans="1:5" x14ac:dyDescent="0.25">
      <c r="A437" s="13">
        <f t="shared" si="34"/>
        <v>46093</v>
      </c>
      <c r="B437">
        <f t="shared" si="30"/>
        <v>2026</v>
      </c>
      <c r="C437" t="str">
        <f t="shared" si="31"/>
        <v>Mar</v>
      </c>
      <c r="D437">
        <f t="shared" si="32"/>
        <v>3</v>
      </c>
      <c r="E437">
        <f t="shared" si="33"/>
        <v>12</v>
      </c>
    </row>
    <row r="438" spans="1:5" x14ac:dyDescent="0.25">
      <c r="A438" s="13">
        <f t="shared" si="34"/>
        <v>46094</v>
      </c>
      <c r="B438">
        <f t="shared" si="30"/>
        <v>2026</v>
      </c>
      <c r="C438" t="str">
        <f t="shared" si="31"/>
        <v>Mar</v>
      </c>
      <c r="D438">
        <f t="shared" si="32"/>
        <v>3</v>
      </c>
      <c r="E438">
        <f t="shared" si="33"/>
        <v>13</v>
      </c>
    </row>
    <row r="439" spans="1:5" x14ac:dyDescent="0.25">
      <c r="A439" s="13">
        <f t="shared" si="34"/>
        <v>46095</v>
      </c>
      <c r="B439">
        <f t="shared" si="30"/>
        <v>2026</v>
      </c>
      <c r="C439" t="str">
        <f t="shared" si="31"/>
        <v>Mar</v>
      </c>
      <c r="D439">
        <f t="shared" si="32"/>
        <v>3</v>
      </c>
      <c r="E439">
        <f t="shared" si="33"/>
        <v>14</v>
      </c>
    </row>
    <row r="440" spans="1:5" x14ac:dyDescent="0.25">
      <c r="A440" s="13">
        <f t="shared" si="34"/>
        <v>46096</v>
      </c>
      <c r="B440">
        <f t="shared" si="30"/>
        <v>2026</v>
      </c>
      <c r="C440" t="str">
        <f t="shared" si="31"/>
        <v>Mar</v>
      </c>
      <c r="D440">
        <f t="shared" si="32"/>
        <v>3</v>
      </c>
      <c r="E440">
        <f t="shared" si="33"/>
        <v>15</v>
      </c>
    </row>
    <row r="441" spans="1:5" x14ac:dyDescent="0.25">
      <c r="A441" s="13">
        <f t="shared" si="34"/>
        <v>46097</v>
      </c>
      <c r="B441">
        <f t="shared" si="30"/>
        <v>2026</v>
      </c>
      <c r="C441" t="str">
        <f t="shared" si="31"/>
        <v>Mar</v>
      </c>
      <c r="D441">
        <f t="shared" si="32"/>
        <v>3</v>
      </c>
      <c r="E441">
        <f t="shared" si="33"/>
        <v>16</v>
      </c>
    </row>
    <row r="442" spans="1:5" x14ac:dyDescent="0.25">
      <c r="A442" s="13">
        <f t="shared" si="34"/>
        <v>46098</v>
      </c>
      <c r="B442">
        <f t="shared" si="30"/>
        <v>2026</v>
      </c>
      <c r="C442" t="str">
        <f t="shared" si="31"/>
        <v>Mar</v>
      </c>
      <c r="D442">
        <f t="shared" si="32"/>
        <v>3</v>
      </c>
      <c r="E442">
        <f t="shared" si="33"/>
        <v>17</v>
      </c>
    </row>
  </sheetData>
  <pageMargins left="0.7" right="0.7" top="0.75" bottom="0.75" header="0.3" footer="0.3"/>
  <tableParts count="1">
    <tablePart r:id="rId1"/>
  </tableParts>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3FF8DE2-EF46-4B76-8CAC-48FE5F2A4D1F}">
  <dimension ref="A1"/>
  <sheetViews>
    <sheetView workbookViewId="0"/>
  </sheetViews>
  <sheetFormatPr defaultRowHeight="15" x14ac:dyDescent="0.25"/>
  <sheetData/>
  <pageMargins left="0.7" right="0.7" top="0.75" bottom="0.75" header="0.3" footer="0.3"/>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F8417FF-4695-4773-B323-7C7967A16977}">
  <dimension ref="A1:X22"/>
  <sheetViews>
    <sheetView workbookViewId="0">
      <selection activeCell="V14" sqref="V14"/>
    </sheetView>
  </sheetViews>
  <sheetFormatPr defaultRowHeight="15" x14ac:dyDescent="0.25"/>
  <cols>
    <col min="1" max="1" width="13.42578125" bestFit="1" customWidth="1"/>
    <col min="2" max="2" width="12.7109375" bestFit="1" customWidth="1"/>
    <col min="3" max="3" width="14.85546875" bestFit="1" customWidth="1"/>
    <col min="5" max="5" width="13.42578125" bestFit="1" customWidth="1"/>
    <col min="6" max="6" width="14.140625" bestFit="1" customWidth="1"/>
    <col min="7" max="7" width="13.42578125" bestFit="1" customWidth="1"/>
    <col min="8" max="8" width="20" bestFit="1" customWidth="1"/>
    <col min="9" max="9" width="20.140625" bestFit="1" customWidth="1"/>
    <col min="11" max="11" width="13.42578125" bestFit="1" customWidth="1"/>
    <col min="12" max="12" width="21.7109375" bestFit="1" customWidth="1"/>
    <col min="16" max="16" width="14.28515625" bestFit="1" customWidth="1"/>
    <col min="17" max="17" width="14.85546875" customWidth="1"/>
    <col min="22" max="22" width="13.42578125" bestFit="1" customWidth="1"/>
    <col min="23" max="23" width="19.5703125" bestFit="1" customWidth="1"/>
    <col min="24" max="24" width="19.7109375" bestFit="1" customWidth="1"/>
  </cols>
  <sheetData>
    <row r="1" spans="1:24" x14ac:dyDescent="0.25">
      <c r="P1" s="32" t="s">
        <v>75</v>
      </c>
      <c r="Q1" t="s">
        <v>81</v>
      </c>
    </row>
    <row r="2" spans="1:24" x14ac:dyDescent="0.25">
      <c r="G2" s="32" t="s">
        <v>75</v>
      </c>
      <c r="H2" t="s">
        <v>83</v>
      </c>
      <c r="I2" t="s">
        <v>91</v>
      </c>
      <c r="P2" s="34" t="s">
        <v>47</v>
      </c>
      <c r="Q2" s="41">
        <v>0.44642857142857145</v>
      </c>
    </row>
    <row r="3" spans="1:24" x14ac:dyDescent="0.25">
      <c r="G3" s="34" t="s">
        <v>82</v>
      </c>
      <c r="H3" s="33">
        <v>0</v>
      </c>
      <c r="I3" s="33"/>
      <c r="P3" s="34" t="s">
        <v>56</v>
      </c>
      <c r="Q3" s="41">
        <v>0.26785714285714285</v>
      </c>
      <c r="V3" s="32" t="s">
        <v>74</v>
      </c>
      <c r="W3" t="s" vm="1">
        <v>92</v>
      </c>
    </row>
    <row r="4" spans="1:24" x14ac:dyDescent="0.25">
      <c r="G4" s="34" t="s">
        <v>16</v>
      </c>
      <c r="H4" s="33">
        <v>130</v>
      </c>
      <c r="I4" s="33">
        <v>70</v>
      </c>
      <c r="P4" s="34" t="s">
        <v>50</v>
      </c>
      <c r="Q4" s="41">
        <v>0.10714285714285714</v>
      </c>
    </row>
    <row r="5" spans="1:24" x14ac:dyDescent="0.25">
      <c r="G5" s="34" t="s">
        <v>7</v>
      </c>
      <c r="H5" s="33">
        <v>95</v>
      </c>
      <c r="I5" s="33">
        <v>40</v>
      </c>
      <c r="P5" s="34" t="s">
        <v>53</v>
      </c>
      <c r="Q5" s="41">
        <v>4.4642857142857144E-2</v>
      </c>
      <c r="V5" s="32" t="s">
        <v>75</v>
      </c>
      <c r="W5" t="s">
        <v>94</v>
      </c>
      <c r="X5" t="s">
        <v>95</v>
      </c>
    </row>
    <row r="6" spans="1:24" x14ac:dyDescent="0.25">
      <c r="G6" s="34" t="s">
        <v>11</v>
      </c>
      <c r="H6" s="33">
        <v>103</v>
      </c>
      <c r="I6" s="33">
        <v>63</v>
      </c>
      <c r="P6" s="34" t="s">
        <v>44</v>
      </c>
      <c r="Q6" s="41">
        <v>4.4642857142857144E-2</v>
      </c>
      <c r="V6" s="34" t="s">
        <v>16</v>
      </c>
      <c r="W6" s="33">
        <v>40</v>
      </c>
      <c r="X6" s="33">
        <v>50</v>
      </c>
    </row>
    <row r="7" spans="1:24" x14ac:dyDescent="0.25">
      <c r="G7" s="34" t="s">
        <v>76</v>
      </c>
      <c r="H7" s="33">
        <v>328</v>
      </c>
      <c r="I7" s="33">
        <v>173</v>
      </c>
      <c r="P7" s="34" t="s">
        <v>59</v>
      </c>
      <c r="Q7" s="41">
        <v>3.5714285714285712E-2</v>
      </c>
      <c r="V7" s="34" t="s">
        <v>11</v>
      </c>
      <c r="W7" s="33">
        <v>5</v>
      </c>
      <c r="X7" s="33">
        <v>23</v>
      </c>
    </row>
    <row r="8" spans="1:24" x14ac:dyDescent="0.25">
      <c r="A8" t="s">
        <v>77</v>
      </c>
      <c r="C8" t="s">
        <v>81</v>
      </c>
      <c r="E8" t="s">
        <v>80</v>
      </c>
      <c r="P8" s="34" t="s">
        <v>62</v>
      </c>
      <c r="Q8" s="41">
        <v>3.125E-2</v>
      </c>
      <c r="V8" s="34" t="s">
        <v>76</v>
      </c>
      <c r="W8" s="33">
        <v>40</v>
      </c>
      <c r="X8" s="33">
        <v>50</v>
      </c>
    </row>
    <row r="9" spans="1:24" x14ac:dyDescent="0.25">
      <c r="A9" s="33">
        <v>38950</v>
      </c>
      <c r="C9" s="33">
        <v>112000</v>
      </c>
      <c r="E9" s="33">
        <v>16500</v>
      </c>
      <c r="P9" s="34" t="s">
        <v>65</v>
      </c>
      <c r="Q9" s="41">
        <v>2.2321428571428572E-2</v>
      </c>
    </row>
    <row r="10" spans="1:24" x14ac:dyDescent="0.25">
      <c r="P10" s="34" t="s">
        <v>76</v>
      </c>
      <c r="Q10" s="41">
        <v>1</v>
      </c>
    </row>
    <row r="11" spans="1:24" x14ac:dyDescent="0.25">
      <c r="E11" s="32" t="s">
        <v>75</v>
      </c>
      <c r="F11" s="37" t="s">
        <v>77</v>
      </c>
    </row>
    <row r="12" spans="1:24" x14ac:dyDescent="0.25">
      <c r="E12" s="40">
        <v>45658</v>
      </c>
      <c r="F12" s="37">
        <v>1500</v>
      </c>
    </row>
    <row r="13" spans="1:24" x14ac:dyDescent="0.25">
      <c r="E13" s="40">
        <v>45659</v>
      </c>
      <c r="F13" s="37">
        <v>1000</v>
      </c>
    </row>
    <row r="14" spans="1:24" x14ac:dyDescent="0.25">
      <c r="E14" s="40">
        <v>45660</v>
      </c>
      <c r="F14" s="37">
        <v>5000</v>
      </c>
    </row>
    <row r="15" spans="1:24" x14ac:dyDescent="0.25">
      <c r="E15" s="40">
        <v>45661</v>
      </c>
      <c r="F15" s="37">
        <v>5050</v>
      </c>
    </row>
    <row r="16" spans="1:24" x14ac:dyDescent="0.25">
      <c r="E16" s="40">
        <v>45662</v>
      </c>
      <c r="F16" s="37">
        <v>2400</v>
      </c>
    </row>
    <row r="17" spans="1:12" x14ac:dyDescent="0.25">
      <c r="A17" s="32" t="s">
        <v>75</v>
      </c>
      <c r="B17" t="s">
        <v>80</v>
      </c>
      <c r="E17" s="40">
        <v>45666</v>
      </c>
      <c r="F17" s="37">
        <v>9500</v>
      </c>
      <c r="K17" s="32" t="s">
        <v>74</v>
      </c>
      <c r="L17" t="s" vm="1">
        <v>92</v>
      </c>
    </row>
    <row r="18" spans="1:12" x14ac:dyDescent="0.25">
      <c r="A18" s="34" t="s">
        <v>2</v>
      </c>
      <c r="B18" s="37">
        <v>10150</v>
      </c>
      <c r="E18" s="40">
        <v>45667</v>
      </c>
      <c r="F18" s="37">
        <v>10000</v>
      </c>
    </row>
    <row r="19" spans="1:12" x14ac:dyDescent="0.25">
      <c r="A19" s="34" t="s">
        <v>16</v>
      </c>
      <c r="B19" s="37">
        <v>3150</v>
      </c>
      <c r="E19" s="40">
        <v>45668</v>
      </c>
      <c r="F19" s="37">
        <v>3900</v>
      </c>
      <c r="K19" s="32" t="s">
        <v>75</v>
      </c>
      <c r="L19" t="s">
        <v>93</v>
      </c>
    </row>
    <row r="20" spans="1:12" x14ac:dyDescent="0.25">
      <c r="A20" s="34" t="s">
        <v>7</v>
      </c>
      <c r="B20" s="37">
        <v>2160</v>
      </c>
      <c r="E20" s="40">
        <v>45669</v>
      </c>
      <c r="F20" s="37">
        <v>600</v>
      </c>
      <c r="K20" s="34" t="s">
        <v>16</v>
      </c>
      <c r="L20" s="33">
        <v>1</v>
      </c>
    </row>
    <row r="21" spans="1:12" x14ac:dyDescent="0.25">
      <c r="A21" s="34" t="s">
        <v>11</v>
      </c>
      <c r="B21" s="37">
        <v>1040</v>
      </c>
      <c r="E21" s="34" t="s">
        <v>76</v>
      </c>
      <c r="F21" s="37">
        <v>38950</v>
      </c>
      <c r="K21" s="34" t="s">
        <v>11</v>
      </c>
      <c r="L21" s="33">
        <v>1</v>
      </c>
    </row>
    <row r="22" spans="1:12" x14ac:dyDescent="0.25">
      <c r="A22" s="34" t="s">
        <v>76</v>
      </c>
      <c r="B22" s="33">
        <v>16500</v>
      </c>
      <c r="K22" s="34" t="s">
        <v>76</v>
      </c>
      <c r="L22" s="33">
        <v>2</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7</vt:i4>
      </vt:variant>
    </vt:vector>
  </HeadingPairs>
  <TitlesOfParts>
    <vt:vector size="7" baseType="lpstr">
      <vt:lpstr>Sales_Entry</vt:lpstr>
      <vt:lpstr>Expenses_Entry</vt:lpstr>
      <vt:lpstr>Inventory</vt:lpstr>
      <vt:lpstr>Dashboard</vt:lpstr>
      <vt:lpstr>Calender</vt:lpstr>
      <vt:lpstr>Instruction</vt:lpstr>
      <vt:lpstr>_Backend_Pivots</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Oluwaseyi Ajayi</dc:creator>
  <cp:lastModifiedBy>Oluwaseyi Ajayi</cp:lastModifiedBy>
  <dcterms:created xsi:type="dcterms:W3CDTF">2026-01-20T10:43:50Z</dcterms:created>
  <dcterms:modified xsi:type="dcterms:W3CDTF">2026-02-06T07:44:27Z</dcterms:modified>
</cp:coreProperties>
</file>